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253789870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提と注意" sheetId="1" r:id="R8902244d00ca479d"/>
    <x:sheet xmlns:r="http://schemas.openxmlformats.org/officeDocument/2006/relationships" name="入力仕様259" sheetId="2" r:id="R75dd5f1de3144cf5"/>
    <x:sheet xmlns:r="http://schemas.openxmlformats.org/officeDocument/2006/relationships" name="出典" sheetId="3" r:id="R5ef08b59f0c5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7">
    <x:font>
      <x:sz val="11"/>
      <x:name val="Carlito"/>
    </x:font>
    <x:font>
      <x:sz val="10"/>
      <x:name val="Yu Gothic"/>
    </x:font>
    <x:font>
      <x:b/>
      <x:sz val="10"/>
      <x:color rgb="FFFFFFFF"/>
      <x:name val="Yu Gothic"/>
    </x:font>
    <x:font>
      <x:b/>
      <x:sz val="16"/>
      <x:color rgb="FFFFFFFF"/>
      <x:name val="Carlito"/>
    </x:font>
    <x:font>
      <x:sz val="11"/>
      <x:name val="Yu Gothic"/>
    </x:font>
    <x:font>
      <x:b/>
      <x:sz val="11"/>
      <x:name val="Yu Gothic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7F1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d2ae20ec54428" /><Relationship Type="http://schemas.openxmlformats.org/officeDocument/2006/relationships/theme" Target="/xl/theme/theme1.xml" Id="Rd23fd54eb0b1447d" /><Relationship Type="http://schemas.openxmlformats.org/officeDocument/2006/relationships/sharedStrings" Target="/xl/sharedStrings.xml" Id="Rfe340c58a1324903" /><Relationship Type="http://schemas.openxmlformats.org/officeDocument/2006/relationships/worksheet" Target="/xl/worksheets/sheet1.xml" Id="R8902244d00ca479d" /><Relationship Type="http://schemas.openxmlformats.org/officeDocument/2006/relationships/worksheet" Target="/xl/worksheets/sheet2.xml" Id="R75dd5f1de3144cf5" /><Relationship Type="http://schemas.openxmlformats.org/officeDocument/2006/relationships/worksheet" Target="/xl/worksheets/sheet3.xml" Id="R5ef08b59f0c54548" /></Relationships>
</file>

<file path=xl/tables/table1.xml><?xml version="1.0" encoding="utf-8"?>
<x:table xmlns:x="http://schemas.openxmlformats.org/spreadsheetml/2006/main" id="1" name="InputSpecifications" displayName="InputSpecifications" ref="A1:K260" headerRowCount="1" totalsRowCount="0" totalsRowShown="0">
  <x:tableColumns count="11">
    <x:tableColumn id="1" name="index"/>
    <x:tableColumn id="2" name="入力・参照先"/>
    <x:tableColumn id="3" name="元の単位"/>
    <x:tableColumn id="4" name="正規化式"/>
    <x:tableColumn id="5" name="生成値域・条件"/>
    <x:tableColumn id="6" name="入力0の意味"/>
    <x:tableColumn id="7" name="入力0.5の意味"/>
    <x:tableColumn id="8" name="入力1の意味"/>
    <x:tableColumn id="9" name="注意点"/>
    <x:tableColumn id="10" name="出典ID"/>
    <x:tableColumn id="11" name="代表出典URL（全出典は出典ID参照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ndex" displayName="SourceIndex" ref="A1:D20" headerRowCount="1" totalsRowCount="0" totalsRowShown="0">
  <x:tableColumns count="4">
    <x:tableColumn id="1" name="ID"/>
    <x:tableColumn id="2" name="資料"/>
    <x:tableColumn id="3" name="確認した関数・場所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d025473aea41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bf2f667c4647b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36" customHeight="1">
      <x:c r="A1" s="18" t="str">
        <x:v>MetaDrive 標準259次元：入力値と正規化の仕様</x:v>
      </x:c>
      <x:c r="B1" s="18"/>
      <x:c r="C1" s="18"/>
      <x:c r="D1" s="18"/>
    </x:row>
    <x:row r="3" ht="28" customHeight="1">
      <x:c r="A3" s="29" t="str">
        <x:v>区分</x:v>
      </x:c>
      <x:c r="B3" s="29" t="str">
        <x:v>内容</x:v>
      </x:c>
      <x:c r="C3" s="29"/>
      <x:c r="D3" s="29"/>
    </x:row>
    <x:row r="4" ht="56" customHeight="1">
      <x:c r="A4" s="24" t="str">
        <x:v>調査対象</x:v>
      </x:c>
      <x:c r="B4" s="24" t="str">
        <x:v>MetaDrive 85e5dadc6c7436d324348f6e3d8f8e680c06b4db / プロジェクト configs/official.toml。ソース静的確認。</x:v>
      </x:c>
      <x:c r="C4" s="24"/>
      <x:c r="D4" s="24"/>
    </x:row>
    <x:row r="5" ht="56" customHeight="1">
      <x:c r="A5" s="24" t="str">
        <x:v>適用範囲</x:v>
      </x:c>
      <x:c r="B5" s="24" t="str">
        <x:v>標準259次元（0〜18の19入力＋19〜258の240ビーム）。別PCの追加3次元は未確認。</x:v>
      </x:c>
      <x:c r="C5" s="24"/>
      <x:c r="D5" s="24"/>
    </x:row>
    <x:row r="6" ht="56" customHeight="1">
      <x:c r="A6" s="24" t="str">
        <x:v>版の注意</x:v>
      </x:c>
      <x:c r="B6" s="24" t="str">
        <x:v>requirements.lockはコミットを記録するが、-e ../metadriveなのでインストール版を強制固定しない。</x:v>
      </x:c>
      <x:c r="C6" s="24"/>
      <x:c r="D6" s="24"/>
    </x:row>
    <x:row r="7" ht="56" customHeight="1">
      <x:c r="A7" s="24" t="str">
        <x:v>表の読み方</x:v>
      </x:c>
      <x:c r="B7" s="24" t="str">
        <x:v>C(u)=min(max(u,0),1)。0/1はクリップ前の閾値以外も含む。元の値を一意に復元できない場合がある。</x:v>
      </x:c>
      <x:c r="C7" s="24"/>
      <x:c r="D7" s="24"/>
    </x:row>
    <x:row r="8" ht="56" customHeight="1">
      <x:c r="A8" s="24" t="str">
        <x:v>宣言と実値</x:v>
      </x:c>
      <x:c r="B8" s="24" t="str">
        <x:v>観測空間はfloat32の[0,1]^259。実際に生成される範囲は入力ごとに狭い・離散的。ログの実測範囲ではない。</x:v>
      </x:c>
      <x:c r="C8" s="24"/>
      <x:c r="D8" s="24"/>
    </x:row>
    <x:row r="9" ht="56" customHeight="1">
      <x:c r="A9" s="24" t="str">
        <x:v>停止速度</x:v>
      </x:c>
      <x:c r="B9" s="24" t="str">
        <x:v>速度入力は(v+1)/81。停止時1/81。0を通常の停止値と解釈しない。</x:v>
      </x:c>
      <x:c r="C9" s="24"/>
      <x:c r="D9" s="24"/>
    </x:row>
    <x:row r="10" ht="56" customHeight="1">
      <x:c r="A10" s="24" t="str">
        <x:v>操舵index4</x:v>
      </x:c>
      <x:c r="B10" s="24" t="str">
        <x:v>通常の操舵コマンド−1,0,+1をさらにMAX_STEERING=60で割るので約0.491667,0.5,0.508333となる。</x:v>
      </x:c>
      <x:c r="C10" s="24"/>
      <x:c r="D10" s="24"/>
    </x:row>
    <x:row r="11" ht="56" customHeight="1">
      <x:c r="A11" s="24" t="str">
        <x:v>横位置index8</x:v>
      </x:c>
      <x:c r="B11" s="24" t="str">
        <x:v>4.5 mで正規化。実レーン幅3.5 mなら両端は1/9と8/9であり、0/1ではない。</x:v>
      </x:c>
      <x:c r="C11" s="24"/>
      <x:c r="D11" s="24"/>
    </x:row>
    <x:row r="12" ht="56" customHeight="1">
      <x:c r="A12" s="24" t="str">
        <x:v>ナビ円弧情報</x:v>
      </x:c>
      <x:c r="B12" s="24" t="str">
        <x:v>直線の半径成分=0、方向成分=0.5、角度成分=0.5。角度は円弧全体の中心角で、heading誤差ではない。</x:v>
      </x:c>
      <x:c r="C12" s="24"/>
      <x:c r="D12" s="24"/>
    </x:row>
    <x:row r="13" ht="56" customHeight="1">
      <x:c r="A13" s="24" t="str">
        <x:v>LiDAR方向</x:v>
      </x:c>
      <x:c r="B13" s="24" t="str">
        <x:v>コメントはclockwiseだが、θ+2πk/240、cos/sinと右手座標からは反時計回り。0前、60左、120後、180右。実描画は未検証。</x:v>
      </x:c>
      <x:c r="C13" s="24"/>
      <x:c r="D13" s="24"/>
    </x:row>
    <x:row r="14" ht="56" customHeight="1">
      <x:c r="A14" s="24" t="str">
        <x:v>ナビ横軸</x:v>
      </x:c>
      <x:c r="B14" s="24" t="str">
        <x:v>変数名ckpt_in_rhs・コメントrightと、座標変換の符号が不一致。表は変換後成分で定義。平面姿勢の式では左が正。実Panda3D未検証。</x:v>
      </x:c>
      <x:c r="C14" s="24"/>
      <x:c r="D14" s="24"/>
    </x:row>
    <x:row r="15" ht="56" customHeight="1">
      <x:c r="A15" s="24" t="str">
        <x:v>特殊分岐</x:v>
      </x:c>
      <x:c r="B15" s="24" t="str">
        <x:v>navigation参照なしでindex2〜6を0埋めする分岐あり。表の端点を一般的なinvalid判定には使わない。</x:v>
      </x:c>
      <x:c r="C15" s="24"/>
      <x:c r="D15" s="24"/>
    </x:row>
    <x:row r="16" ht="56" customHeight="1">
      <x:c r="A16" s="24" t="str">
        <x:v>固定値−1</x:v>
      </x:c>
      <x:c r="B16" s="24" t="str">
        <x:v>最終モデル入力が正常に[0,1]なら−1は必ず異なる。代入後の再クリップ・拒否・再変換がないことを確認する。</x:v>
      </x:c>
      <x:c r="C16" s="24"/>
      <x:c r="D16" s="24"/>
    </x:row>
    <x:row r="17" ht="56" customHeight="1">
      <x:c r="A17" s="24" t="str">
        <x:v>強い固定値</x:v>
      </x:c>
      <x:c r="B17" s="24" t="str">
        <x:v>−100は−1より強い別の介入条件。大きなデグレが公平な特徴重要度を意味するとは限らない。</x:v>
      </x:c>
      <x:c r="C17" s="24"/>
      <x:c r="D17" s="24"/>
    </x:row>
    <x:row r="18" ht="56" customHeight="1">
      <x:c r="A18" s="24" t="str">
        <x:v>①-A</x:v>
      </x:c>
      <x:c r="B18" s="24" t="str">
        <x:v>保存された行動前入力を変更してモデルだけ再推論。変更後の行動を環境へ実行しない。変更後の実測報酬は得られない。</x:v>
      </x:c>
      <x:c r="C18" s="24"/>
      <x:c r="D18" s="24"/>
    </x:row>
    <x:row r="19" ht="56" customHeight="1">
      <x:c r="A19" s="24" t="str">
        <x:v>①-A件数</x:v>
      </x:c>
      <x:c r="B19" s="24" t="str">
        <x:v>127時刻×259次元×固定値1種。追加推論件数であり、エピソード数ではない。バッチ化可。</x:v>
      </x:c>
      <x:c r="C19" s="24"/>
      <x:c r="D19" s="24"/>
    </x:row>
    <x:row r="20" ht="56" customHeight="1">
      <x:c r="A20" s="24" t="str">
        <x:v>①-B</x:v>
      </x:c>
      <x:c r="B20" s="24" t="str">
        <x:v>reset直後の最初の行動決定前から終了まで、最新観測の対象入力を毎step変更し、変更後の行動を実行する。</x:v>
      </x:c>
      <x:c r="C20" s="24"/>
      <x:c r="D20" s="24"/>
    </x:row>
    <x:row r="21" ht="56" customHeight="1">
      <x:c r="A21" s="24" t="str">
        <x:v>詳細資料</x:v>
      </x:c>
      <x:c r="B21" s="24" t="str">
        <x:v>同名のMarkdownに定数・基準式・全259行・出典を掲載。左右のコメント不一致も記載。</x:v>
      </x:c>
      <x:c r="C21" s="24"/>
      <x:c r="D21" s="24"/>
    </x:row>
    <x:row r="24" ht="25" customHeight="1">
      <x:c r="A24" s="33" t="str">
        <x:v>計算確認</x:v>
      </x:c>
      <x:c r="B24" s="33" t="str">
        <x:v>式の結果</x:v>
      </x:c>
    </x:row>
    <x:row r="25" ht="24" customHeight="1">
      <x:c r="A25" t="str">
        <x:v>①-A追加推論数</x:v>
      </x:c>
      <x:c r="B25" t="n">
        <x:f>127*259</x:f>
        <x:v>32893</x:v>
      </x:c>
    </x:row>
    <x:row r="26" ht="24" customHeight="1">
      <x:c r="A26" t="str">
        <x:v>停止時の速度入力</x:v>
      </x:c>
      <x:c r="B26" s="36" t="n">
        <x:f>1/(80+1)</x:f>
        <x:v>0.012345679012345678</x:v>
      </x:c>
    </x:row>
    <x:row r="27" ht="24" customHeight="1">
      <x:c r="A27" t="str">
        <x:v>正常なレーン両端（左）</x:v>
      </x:c>
      <x:c r="B27" s="36" t="n">
        <x:f>(-3.5/2)/4.5+0.5</x:f>
        <x:v>0.1111111111111111</x:v>
      </x:c>
    </x:row>
  </x:sheetData>
  <x:mergeCells>
    <x:mergeCell ref="A1:D1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16" hidden="0" customWidth="1"/>
    <x:col min="4" max="4" width="38" hidden="0" customWidth="1"/>
    <x:col min="5" max="5" width="34" hidden="0" customWidth="1"/>
    <x:col min="6" max="6" width="34" hidden="0" customWidth="1"/>
    <x:col min="7" max="7" width="32" hidden="0" customWidth="1"/>
    <x:col min="8" max="8" width="34" hidden="0" customWidth="1"/>
    <x:col min="9" max="9" width="40" hidden="0" customWidth="1"/>
    <x:col min="10" max="10" width="18" hidden="0" customWidth="1"/>
    <x:col min="11" max="11" width="40" hidden="0" customWidth="1"/>
  </x:cols>
  <x:sheetData>
    <x:row r="1" ht="34" customHeight="1">
      <x:c r="A1" s="10" t="str">
        <x:v>index</x:v>
      </x:c>
      <x:c r="B1" s="10" t="str">
        <x:v>入力・参照先</x:v>
      </x:c>
      <x:c r="C1" s="10" t="str">
        <x:v>元の単位</x:v>
      </x:c>
      <x:c r="D1" s="10" t="str">
        <x:v>正規化式</x:v>
      </x:c>
      <x:c r="E1" s="10" t="str">
        <x:v>生成値域・条件</x:v>
      </x:c>
      <x:c r="F1" s="10" t="str">
        <x:v>入力0の意味</x:v>
      </x:c>
      <x:c r="G1" s="10" t="str">
        <x:v>入力0.5の意味</x:v>
      </x:c>
      <x:c r="H1" s="10" t="str">
        <x:v>入力1の意味</x:v>
      </x:c>
      <x:c r="I1" s="10" t="str">
        <x:v>注意点</x:v>
      </x:c>
      <x:c r="J1" s="10" t="str">
        <x:v>出典ID</x:v>
      </x:c>
      <x:c r="K1" s="10" t="str">
        <x:v>代表出典URL（全出典は出典ID参照）</x:v>
      </x:c>
    </x:row>
    <x:row r="2" ht="115" customHeight="1">
      <x:c r="A2" s="14" t="n">
        <x:v>0</x:v>
      </x:c>
      <x:c r="B2" s="4" t="str">
        <x:v>経路道路の左端までの横方向距離 dL</x:v>
      </x:c>
      <x:c r="C2" s="4" t="str">
        <x:v>m</x:v>
      </x:c>
      <x:c r="D2" s="4" t="str">
        <x:v>C(dL / 18)</x:v>
      </x:c>
      <x:c r="E2" s="4" t="str">
        <x:v>[0,1]。道路内・通常3車線では0〜10.5/18</x:v>
      </x:c>
      <x:c r="F2" s="4" t="str">
        <x:v>dL≤0 m（境界上、または左側へ越境）</x:v>
      </x:c>
      <x:c r="G2" s="4" t="str">
        <x:v>dL=9 m</x:v>
      </x:c>
      <x:c r="H2" s="4" t="str">
        <x:v>dL≥18 m</x:v>
      </x:c>
      <x:c r="I2" s="4" t="str">
        <x:v>左端参照レーンcurrent_ref_lanes[0]の横座標+現在レーン幅/2。分母18 mは実道路幅10.5 mではない。</x:v>
      </x:c>
      <x:c r="J2" s="4" t="str">
        <x:v>S01;S02;S05;S14</x:v>
      </x:c>
      <x:c r="K2" s="4" t="str">
        <x:v>https://raw.githubusercontent.com/metadriverse/metadrive/85e5dadc6c7436d324348f6e3d8f8e680c06b4db/metadrive/obs/state_obs.py</x:v>
      </x:c>
    </x:row>
    <x:row r="3" ht="115" customHeight="1">
      <x:c r="A3" s="14" t="n">
        <x:v>1</x:v>
      </x:c>
      <x:c r="B3" s="4" t="str">
        <x:v>経路道路の右端までの横方向距離 dR</x:v>
      </x:c>
      <x:c r="C3" s="4" t="str">
        <x:v>m</x:v>
      </x:c>
      <x:c r="D3" s="4" t="str">
        <x:v>C(dR / 18)</x:v>
      </x:c>
      <x:c r="E3" s="4" t="str">
        <x:v>[0,1]。道路内・通常3車線では0〜10.5/18</x:v>
      </x:c>
      <x:c r="F3" s="4" t="str">
        <x:v>dR≤0 m（境界上、または右側へ越境）</x:v>
      </x:c>
      <x:c r="G3" s="4" t="str">
        <x:v>dR=9 m</x:v>
      </x:c>
      <x:c r="H3" s="4" t="str">
        <x:v>dR≥18 m</x:v>
      </x:c>
      <x:c r="I3" s="4" t="str">
        <x:v>dR=現在の経路道路横幅−dL。通常区間の横幅=n×w。特殊区間はnavigation側の算出方法に従う。</x:v>
      </x:c>
      <x:c r="J3" s="4" t="str">
        <x:v>S01;S02;S05;S14</x:v>
      </x:c>
      <x:c r="K3" s="4" t="str">
        <x:v>https://raw.githubusercontent.com/metadriverse/metadrive/85e5dadc6c7436d324348f6e3d8f8e680c06b4db/metadrive/obs/state_obs.py</x:v>
      </x:c>
    </x:row>
    <x:row r="4" ht="115" customHeight="1">
      <x:c r="A4" s="14" t="n">
        <x:v>2</x:v>
      </x:c>
      <x:c r="B4" s="4" t="str">
        <x:v>参照レーン右向き単位ベクトルと車両headingの内積 c</x:v>
      </x:c>
      <x:c r="C4" s="4" t="str">
        <x:v>無次元</x:v>
      </x:c>
      <x:c r="D4" s="4" t="str">
        <x:v>clip(c,-1,1)/2 + 0.5</x:v>
      </x:c>
      <x:c r="E4" s="4" t="str">
        <x:v>[0,1]（単純な角度の線形正規化ではない）</x:v>
      </x:c>
      <x:c r="F4" s="4" t="str">
        <x:v>参照レーンに対して左90°</x:v>
      </x:c>
      <x:c r="G4" s="4" t="str">
        <x:v>平行（順方向・逆方向の両方）</x:v>
      </x:c>
      <x:c r="H4" s="4" t="str">
        <x:v>参照レーンに対して右90°</x:v>
      </x:c>
      <x:c r="I4" s="4" t="str">
        <x:v>参照=current_ref_lanes[-1]。c=heading・右法線。通常走行のheading_diffの式。ゼロ長ベクトル時は0。</x:v>
      </x:c>
      <x:c r="J4" s="4" t="str">
        <x:v>S01;S02;S09;S11;S12</x:v>
      </x:c>
      <x:c r="K4" s="4" t="str">
        <x:v>https://raw.githubusercontent.com/metadriverse/metadrive/85e5dadc6c7436d324348f6e3d8f8e680c06b4db/metadrive/obs/state_obs.py</x:v>
      </x:c>
    </x:row>
    <x:row r="5" ht="115" customHeight="1">
      <x:c r="A5" s="14" t="n">
        <x:v>3</x:v>
      </x:c>
      <x:c r="B5" s="4" t="str">
        <x:v>車両の水平面での速さ v</x:v>
      </x:c>
      <x:c r="C5" s="4" t="str">
        <x:v>km/h</x:v>
      </x:c>
      <x:c r="D5" s="4" t="str">
        <x:v>C((v+1)/(Vmax+1)); 既定 C((v+1)/81)</x:v>
      </x:c>
      <x:c r="E5" s="4" t="str">
        <x:v>[1/81,1]（正常なナビゲーション経路。Vmax=80）</x:v>
      </x:c>
      <x:c r="F5" s="4" t="str">
        <x:v>通常生成されない。逆算上v=−1 km/h</x:v>
      </x:c>
      <x:c r="G5" s="4" t="str">
        <x:v>v=39.5 km/h</x:v>
      </x:c>
      <x:c r="H5" s="4" t="str">
        <x:v>v≥80 km/h</x:v>
      </x:c>
      <x:c r="I5" s="4" t="str">
        <x:v>停止v=0は1/81≈0.012346。速さは速度ベクトルの大きさで非負。別設定ではVmaxを置き換える。</x:v>
      </x:c>
      <x:c r="J5" s="4" t="str">
        <x:v>S01;S06;S15</x:v>
      </x:c>
      <x:c r="K5" s="4" t="str">
        <x:v>https://raw.githubusercontent.com/metadriverse/metadrive/85e5dadc6c7436d324348f6e3d8f8e680c06b4db/metadrive/obs/state_obs.py</x:v>
      </x:c>
    </x:row>
    <x:row r="6" ht="115" customHeight="1">
      <x:c r="A6" s="14" t="n">
        <x:v>4</x:v>
      </x:c>
      <x:c r="B6" s="4" t="str">
        <x:v>現在保持されている操舵コマンド s</x:v>
      </x:c>
      <x:c r="C6" s="4" t="str">
        <x:v>無次元</x:v>
      </x:c>
      <x:c r="D6" s="4" t="str">
        <x:v>C((s/60+1)/2)</x:v>
      </x:c>
      <x:c r="E6" s="4" t="str">
        <x:v>公式3段階行動では{59/120, 0.5, 61/120}≈{0.491667,0.5,0.508333}</x:v>
      </x:c>
      <x:c r="F6" s="4" t="str">
        <x:v>逆算上s=−60。通常のs∈[−1,1]では生成されない</x:v>
      </x:c>
      <x:c r="G6" s="4" t="str">
        <x:v>s=0（中立）</x:v>
      </x:c>
      <x:c r="H6" s="4" t="str">
        <x:v>逆算上s=+60。通常のs∈[−1,1]では生成されない</x:v>
      </x:c>
      <x:c r="I6" s="4" t="str">
        <x:v>観測側MAX_STEERING=60と、物理操舵に使うmax_steering=40°を区別。_set_actionではsを保持し、実輪への設定値はs×40°。</x:v>
      </x:c>
      <x:c r="J6" s="4" t="str">
        <x:v>S01;S02;S06;S16</x:v>
      </x:c>
      <x:c r="K6" s="4" t="str">
        <x:v>https://raw.githubusercontent.com/metadriverse/metadrive/85e5dadc6c7436d324348f6e3d8f8e680c06b4db/metadrive/obs/state_obs.py</x:v>
      </x:c>
    </x:row>
    <x:row r="7" ht="115" customHeight="1">
      <x:c r="A7" s="14" t="n">
        <x:v>5</x:v>
      </x:c>
      <x:c r="B7" s="4" t="str">
        <x:v>直前に適用された行動の操舵成分 a_s</x:v>
      </x:c>
      <x:c r="C7" s="4" t="str">
        <x:v>無次元</x:v>
      </x:c>
      <x:c r="D7" s="4" t="str">
        <x:v>C((a_s+1)/2)</x:v>
      </x:c>
      <x:c r="E7" s="4" t="str">
        <x:v>公式3段階行動では{0,0.5,1}</x:v>
      </x:c>
      <x:c r="F7" s="4" t="str">
        <x:v>a_s=−1（負側最大操舵コマンド）</x:v>
      </x:c>
      <x:c r="G7" s="4" t="str">
        <x:v>a_s=0（中立）</x:v>
      </x:c>
      <x:c r="H7" s="4" t="str">
        <x:v>a_s=+1（正側最大操舵コマンド）</x:v>
      </x:c>
      <x:c r="I7" s="4" t="str">
        <x:v>last_current_action[1][0]。現在入力でこれから決める行動ではない。通常の_set_action経路ではindex4と同じコマンドを別スケールで表す。</x:v>
      </x:c>
      <x:c r="J7" s="4" t="str">
        <x:v>S01;S02;S16</x:v>
      </x:c>
      <x:c r="K7" s="4" t="str">
        <x:v>https://raw.githubusercontent.com/metadriverse/metadrive/85e5dadc6c7436d324348f6e3d8f8e680c06b4db/metadrive/obs/state_obs.py</x:v>
      </x:c>
    </x:row>
    <x:row r="8" ht="115" customHeight="1">
      <x:c r="A8" s="14" t="n">
        <x:v>6</x:v>
      </x:c>
      <x:c r="B8" s="4" t="str">
        <x:v>直前に適用された行動の加速・制動成分 a_b</x:v>
      </x:c>
      <x:c r="C8" s="4" t="str">
        <x:v>無次元</x:v>
      </x:c>
      <x:c r="D8" s="4" t="str">
        <x:v>C((a_b+1)/2)</x:v>
      </x:c>
      <x:c r="E8" s="4" t="str">
        <x:v>公式3段階行動では{0,0.5,1}</x:v>
      </x:c>
      <x:c r="F8" s="4" t="str">
        <x:v>a_b=−1（最大制動。enable_reverse=False）</x:v>
      </x:c>
      <x:c r="G8" s="4" t="str">
        <x:v>a_b=0（コマンド中立）</x:v>
      </x:c>
      <x:c r="H8" s="4" t="str">
        <x:v>a_b=+1（最大加速コマンド）</x:v>
      </x:c>
      <x:c r="I8" s="4" t="str">
        <x:v>last_current_action[1][1]。0.5は必ずしも物理的に完全な無制動を意味しない。</x:v>
      </x:c>
      <x:c r="J8" s="4" t="str">
        <x:v>S01;S02;S13;S16</x:v>
      </x:c>
      <x:c r="K8" s="4" t="str">
        <x:v>https://raw.githubusercontent.com/metadriverse/metadrive/85e5dadc6c7436d324348f6e3d8f8e680c06b4db/metadrive/obs/state_obs.py</x:v>
      </x:c>
    </x:row>
    <x:row r="9" ht="115" customHeight="1">
      <x:c r="A9" s="14" t="n">
        <x:v>7</x:v>
      </x:c>
      <x:c r="B9" s="4" t="str">
        <x:v>前回・今回heading間の符号なし角変化からのヨーレート相当値</x:v>
      </x:c>
      <x:c r="C9" s="4" t="str">
        <x:v>rad/s（既定0.1秒周期）</x:v>
      </x:c>
      <x:c r="D9" s="4" t="str">
        <x:v>C(arccos(clip(cosβ,0,1))/0.1)</x:v>
      </x:c>
      <x:c r="E9" s="4" t="str">
        <x:v>[0,1]</x:v>
      </x:c>
      <x:c r="F9" s="4" t="str">
        <x:v>heading間の角変化0 rad</x:v>
      </x:c>
      <x:c r="G9" s="4" t="str">
        <x:v>角変化0.05 rad≈2.864789°/step</x:v>
      </x:c>
      <x:c r="H9" s="4" t="str">
        <x:v>角変化≥0.1 rad≈5.729578°/step</x:v>
      </x:c>
      <x:c r="I9" s="4" t="str">
        <x:v>左右符号なし。角加速度ではない。0.1はソースの固定値。既定0.02×5=0.1秒以外へ変更しても式は自動追従しない。</x:v>
      </x:c>
      <x:c r="J9" s="4" t="str">
        <x:v>S01;S13</x:v>
      </x:c>
      <x:c r="K9" s="4" t="str">
        <x:v>https://raw.githubusercontent.com/metadriverse/metadrive/85e5dadc6c7436d324348f6e3d8f8e680c06b4db/metadrive/obs/state_obs.py</x:v>
      </x:c>
    </x:row>
    <x:row r="10" ht="115" customHeight="1">
      <x:c r="A10" s="14" t="n">
        <x:v>8</x:v>
      </x:c>
      <x:c r="B10" s="4" t="str">
        <x:v>現在所属レーン中心からの符号付き横位置 l</x:v>
      </x:c>
      <x:c r="C10" s="4" t="str">
        <x:v>m</x:v>
      </x:c>
      <x:c r="D10" s="4" t="str">
        <x:v>C(l/4.5+0.5)</x:v>
      </x:c>
      <x:c r="E10" s="4" t="str">
        <x:v>[0,1]。幅3.5 mのレーン内なら[1/9,8/9]≈[0.111111,0.888889]</x:v>
      </x:c>
      <x:c r="F10" s="4" t="str">
        <x:v>l≤−2.25 m（左）</x:v>
      </x:c>
      <x:c r="G10" s="4" t="str">
        <x:v>l=0 m（現在レーン中心）</x:v>
      </x:c>
      <x:c r="H10" s="4" t="str">
        <x:v>l≥+2.25 m（右）</x:v>
      </x:c>
      <x:c r="I10" s="4" t="str">
        <x:v>参照=vehicle.lane。車線変更で参照も切り替わる。分母はMAX_LANE_WIDTH=4.5 mで実レーン幅3.5 mではない。</x:v>
      </x:c>
      <x:c r="J10" s="4" t="str">
        <x:v>S01;S02;S05;S12;S14</x:v>
      </x:c>
      <x:c r="K10" s="4" t="str">
        <x:v>https://raw.githubusercontent.com/metadriverse/metadrive/85e5dadc6c7436d324348f6e3d8f8e680c06b4db/metadrive/obs/state_obs.py</x:v>
      </x:c>
    </x:row>
    <x:row r="11" ht="115" customHeight="1">
      <x:c r="A11" s="14" t="n">
        <x:v>9</x:v>
      </x:c>
      <x:c r="B11" s="4" t="str">
        <x:v>現在の経路道路終端チェックポイントの車体前後軸投影 qf</x:v>
      </x:c>
      <x:c r="C11" s="4" t="str">
        <x:v>m</x:v>
      </x:c>
      <x:c r="D11" s="4" t="str">
        <x:v>C((qf/50+1)/2)</x:v>
      </x:c>
      <x:c r="E11" s="4" t="str">
        <x:v>[0,1]。投影前の相対ベクトルを長さ50 m以下へ縮める</x:v>
      </x:c>
      <x:c r="F11" s="4" t="str">
        <x:v>縮小後のqf=−50 m（真後ろ方向）</x:v>
      </x:c>
      <x:c r="G11" s="4" t="str">
        <x:v>qf=0 m</x:v>
      </x:c>
      <x:c r="H11" s="4" t="str">
        <x:v>縮小後のqf=+50 m（真前方向）</x:v>
      </x:c>
      <x:c r="I11" s="4" t="str">
        <x:v>チェックポイントは参照レーン[0]終端に現在の(n/2−0.5)wの横オフセットを適用。50 m超では元の実距離を一意に復元不可。</x:v>
      </x:c>
      <x:c r="J11" s="4" t="str">
        <x:v>S01;S03;S04;S15</x:v>
      </x:c>
      <x:c r="K11" s="4" t="str">
        <x:v>https://raw.githubusercontent.com/metadriverse/metadrive/85e5dadc6c7436d324348f6e3d8f8e680c06b4db/metadrive/obs/state_obs.py</x:v>
      </x:c>
    </x:row>
    <x:row r="12" ht="115" customHeight="1">
      <x:c r="A12" s="14" t="n">
        <x:v>10</x:v>
      </x:c>
      <x:c r="B12" s="4" t="str">
        <x:v>現在の経路道路終端チェックポイントの車体横軸投影 qlat（変数名ckpt_in_rhs）</x:v>
      </x:c>
      <x:c r="C12" s="4" t="str">
        <x:v>m</x:v>
      </x:c>
      <x:c r="D12" s="4" t="str">
        <x:v>C((qlat/50+1)/2)</x:v>
      </x:c>
      <x:c r="E12" s="4" t="str">
        <x:v>[0,1]。投影前の相対ベクトルを長さ50 m以下へ縮める</x:v>
      </x:c>
      <x:c r="F12" s="4" t="str">
        <x:v>縮小後のqlat=−50 m</x:v>
      </x:c>
      <x:c r="G12" s="4" t="str">
        <x:v>qlat=0 m</x:v>
      </x:c>
      <x:c r="H12" s="4" t="str">
        <x:v>縮小後のqlat=+50 m</x:v>
      </x:c>
      <x:c r="I12" s="4" t="str">
        <x:v>sourceコメントはright。BaseVehicleの戻り値[ret[1],−ret[0]]と右手座標を追うと平面姿勢では左が正。実Panda3Dでの確認は未実施。正負の意味をコメントだけで確定しない。</x:v>
      </x:c>
      <x:c r="J12" s="4" t="str">
        <x:v>S01;S03;S04;S02;S10;S15</x:v>
      </x:c>
      <x:c r="K12" s="4" t="str">
        <x:v>https://raw.githubusercontent.com/metadriverse/metadrive/85e5dadc6c7436d324348f6e3d8f8e680c06b4db/metadrive/obs/state_obs.py</x:v>
      </x:c>
    </x:row>
    <x:row r="13" ht="115" customHeight="1">
      <x:c r="A13" s="14" t="n">
        <x:v>11</x:v>
      </x:c>
      <x:c r="B13" s="4" t="str">
        <x:v>現在の経路道路の先頭参照レーンの円弧半径 R</x:v>
      </x:c>
      <x:c r="C13" s="4" t="str">
        <x:v>m</x:v>
      </x:c>
      <x:c r="D13" s="4" t="str">
        <x:v>円弧:C(R/(60+n*w)); 非円弧:0。公式n=3,w=3.5ならC(R/70.5)</x:v>
      </x:c>
      <x:c r="E13" s="4" t="str">
        <x:v>[0,1]（半径が大きいほど曲率は小さい）</x:v>
      </x:c>
      <x:c r="F13" s="4" t="str">
        <x:v>非円弧レーンでは0（R=0の急カーブという意味ではない）</x:v>
      </x:c>
      <x:c r="G13" s="4" t="str">
        <x:v>円弧ならR=35.25 m（公式設定）</x:v>
      </x:c>
      <x:c r="H13" s="4" t="str">
        <x:v>円弧ならR≥70.5 m（公式設定）</x:v>
      </x:c>
      <x:c r="I13" s="4" t="str">
        <x:v>半径はcurrent_ref_lanes[0]またはnext_ref_lanes[0]。分母のn,wは現在の道路から取得する。</x:v>
      </x:c>
      <x:c r="J13" s="4" t="str">
        <x:v>S01;S03;S04;S06;S11;S14</x:v>
      </x:c>
      <x:c r="K13" s="4" t="str">
        <x:v>https://raw.githubusercontent.com/metadriverse/metadrive/85e5dadc6c7436d324348f6e3d8f8e680c06b4db/metadrive/obs/state_obs.py</x:v>
      </x:c>
    </x:row>
    <x:row r="14" ht="115" customHeight="1">
      <x:c r="A14" s="14" t="n">
        <x:v>12</x:v>
      </x:c>
      <x:c r="B14" s="4" t="str">
        <x:v>現在の経路道路の円弧旋回方向</x:v>
      </x:c>
      <x:c r="C14" s="4" t="str">
        <x:v>カテゴリ</x:v>
      </x:c>
      <x:c r="D14" s="4" t="str">
        <x:v>円弧:C((-ref_lane.direction+1)/2); 非円弧:0.5</x:v>
      </x:c>
      <x:c r="E14" s="4" t="str">
        <x:v>{0,0.5,1}</x:v>
      </x:c>
      <x:c r="F14" s="4" t="str">
        <x:v>反時計回り（左カーブ）</x:v>
      </x:c>
      <x:c r="G14" s="4" t="str">
        <x:v>非円弧（通常は直線）</x:v>
      </x:c>
      <x:c r="H14" s="4" t="str">
        <x:v>時計回り（右カーブ）</x:v>
      </x:c>
      <x:c r="I14" s="4" t="str">
        <x:v>CircularLane.direction=-1 if clockwise else +1。0.5を左・右の中間の旋回と解釈しない。</x:v>
      </x:c>
      <x:c r="J14" s="4" t="str">
        <x:v>S01;S03;S11</x:v>
      </x:c>
      <x:c r="K14" s="4" t="str">
        <x:v>https://raw.githubusercontent.com/metadriverse/metadrive/85e5dadc6c7436d324348f6e3d8f8e680c06b4db/metadrive/obs/state_obs.py</x:v>
      </x:c>
    </x:row>
    <x:row r="15" ht="115" customHeight="1">
      <x:c r="A15" s="14" t="n">
        <x:v>13</x:v>
      </x:c>
      <x:c r="B15" s="4" t="str">
        <x:v>現在の経路道路の円弧全体の中心角 A（曲がる角度の大きさ）</x:v>
      </x:c>
      <x:c r="C15" s="4" t="str">
        <x:v>degree</x:v>
      </x:c>
      <x:c r="D15" s="4" t="str">
        <x:v>円弧:C((A/135+1)/2); 非円弧:0.5</x:v>
      </x:c>
      <x:c r="E15" s="4" t="str">
        <x:v>[0.5,1]。Cブロック円弧A∈[45,135]なら[2/3,1]</x:v>
      </x:c>
      <x:c r="F15" s="4" t="str">
        <x:v>通常生成されない。逆算上A=−135°</x:v>
      </x:c>
      <x:c r="G15" s="4" t="str">
        <x:v>非円弧A=0°</x:v>
      </x:c>
      <x:c r="H15" s="4" t="str">
        <x:v>A≥135°</x:v>
      </x:c>
      <x:c r="I15" s="4" t="str">
        <x:v>自車とレーンの向き誤差でも絶対方位でもない。CircularLane.angle&gt;0。左右は直前の方向入力で別表現。</x:v>
      </x:c>
      <x:c r="J15" s="4" t="str">
        <x:v>S01;S03;S06;S11</x:v>
      </x:c>
      <x:c r="K15" s="4" t="str">
        <x:v>https://raw.githubusercontent.com/metadriverse/metadrive/85e5dadc6c7436d324348f6e3d8f8e680c06b4db/metadrive/obs/state_obs.py</x:v>
      </x:c>
    </x:row>
    <x:row r="16" ht="115" customHeight="1">
      <x:c r="A16" s="14" t="n">
        <x:v>14</x:v>
      </x:c>
      <x:c r="B16" s="4" t="str">
        <x:v>次の経路道路（なければ現在と同じ道路）終端チェックポイントの車体前後軸投影 qf</x:v>
      </x:c>
      <x:c r="C16" s="4" t="str">
        <x:v>m</x:v>
      </x:c>
      <x:c r="D16" s="4" t="str">
        <x:v>C((qf/50+1)/2)</x:v>
      </x:c>
      <x:c r="E16" s="4" t="str">
        <x:v>[0,1]。投影前の相対ベクトルを長さ50 m以下へ縮める</x:v>
      </x:c>
      <x:c r="F16" s="4" t="str">
        <x:v>縮小後のqf=−50 m（真後ろ方向）</x:v>
      </x:c>
      <x:c r="G16" s="4" t="str">
        <x:v>qf=0 m</x:v>
      </x:c>
      <x:c r="H16" s="4" t="str">
        <x:v>縮小後のqf=+50 m（真前方向）</x:v>
      </x:c>
      <x:c r="I16" s="4" t="str">
        <x:v>チェックポイントは参照レーン[0]終端に現在の(n/2−0.5)wの横オフセットを適用。50 m超では元の実距離を一意に復元不可。</x:v>
      </x:c>
      <x:c r="J16" s="4" t="str">
        <x:v>S01;S03;S04;S15</x:v>
      </x:c>
      <x:c r="K16" s="4" t="str">
        <x:v>https://raw.githubusercontent.com/metadriverse/metadrive/85e5dadc6c7436d324348f6e3d8f8e680c06b4db/metadrive/obs/state_obs.py</x:v>
      </x:c>
    </x:row>
    <x:row r="17" ht="115" customHeight="1">
      <x:c r="A17" s="14" t="n">
        <x:v>15</x:v>
      </x:c>
      <x:c r="B17" s="4" t="str">
        <x:v>次の経路道路（なければ現在と同じ道路）終端チェックポイントの車体横軸投影 qlat（変数名ckpt_in_rhs）</x:v>
      </x:c>
      <x:c r="C17" s="4" t="str">
        <x:v>m</x:v>
      </x:c>
      <x:c r="D17" s="4" t="str">
        <x:v>C((qlat/50+1)/2)</x:v>
      </x:c>
      <x:c r="E17" s="4" t="str">
        <x:v>[0,1]。投影前の相対ベクトルを長さ50 m以下へ縮める</x:v>
      </x:c>
      <x:c r="F17" s="4" t="str">
        <x:v>縮小後のqlat=−50 m</x:v>
      </x:c>
      <x:c r="G17" s="4" t="str">
        <x:v>qlat=0 m</x:v>
      </x:c>
      <x:c r="H17" s="4" t="str">
        <x:v>縮小後のqlat=+50 m</x:v>
      </x:c>
      <x:c r="I17" s="4" t="str">
        <x:v>sourceコメントはright。BaseVehicleの戻り値[ret[1],−ret[0]]と右手座標を追うと平面姿勢では左が正。実Panda3Dでの確認は未実施。正負の意味をコメントだけで確定しない。</x:v>
      </x:c>
      <x:c r="J17" s="4" t="str">
        <x:v>S01;S03;S04;S02;S10;S15</x:v>
      </x:c>
      <x:c r="K17" s="4" t="str">
        <x:v>https://raw.githubusercontent.com/metadriverse/metadrive/85e5dadc6c7436d324348f6e3d8f8e680c06b4db/metadrive/obs/state_obs.py</x:v>
      </x:c>
    </x:row>
    <x:row r="18" ht="115" customHeight="1">
      <x:c r="A18" s="14" t="n">
        <x:v>16</x:v>
      </x:c>
      <x:c r="B18" s="4" t="str">
        <x:v>次の経路道路（なければ現在と同じ道路）の先頭参照レーンの円弧半径 R</x:v>
      </x:c>
      <x:c r="C18" s="4" t="str">
        <x:v>m</x:v>
      </x:c>
      <x:c r="D18" s="4" t="str">
        <x:v>円弧:C(R/(60+n*w)); 非円弧:0。公式n=3,w=3.5ならC(R/70.5)</x:v>
      </x:c>
      <x:c r="E18" s="4" t="str">
        <x:v>[0,1]（半径が大きいほど曲率は小さい）</x:v>
      </x:c>
      <x:c r="F18" s="4" t="str">
        <x:v>非円弧レーンでは0（R=0の急カーブという意味ではない）</x:v>
      </x:c>
      <x:c r="G18" s="4" t="str">
        <x:v>円弧ならR=35.25 m（公式設定）</x:v>
      </x:c>
      <x:c r="H18" s="4" t="str">
        <x:v>円弧ならR≥70.5 m（公式設定）</x:v>
      </x:c>
      <x:c r="I18" s="4" t="str">
        <x:v>半径はcurrent_ref_lanes[0]またはnext_ref_lanes[0]。分母のn,wは現在の道路から取得する。</x:v>
      </x:c>
      <x:c r="J18" s="4" t="str">
        <x:v>S01;S03;S04;S06;S11;S14</x:v>
      </x:c>
      <x:c r="K18" s="4" t="str">
        <x:v>https://raw.githubusercontent.com/metadriverse/metadrive/85e5dadc6c7436d324348f6e3d8f8e680c06b4db/metadrive/obs/state_obs.py</x:v>
      </x:c>
    </x:row>
    <x:row r="19" ht="115" customHeight="1">
      <x:c r="A19" s="14" t="n">
        <x:v>17</x:v>
      </x:c>
      <x:c r="B19" s="4" t="str">
        <x:v>次の経路道路（なければ現在と同じ道路）の円弧旋回方向</x:v>
      </x:c>
      <x:c r="C19" s="4" t="str">
        <x:v>カテゴリ</x:v>
      </x:c>
      <x:c r="D19" s="4" t="str">
        <x:v>円弧:C((-ref_lane.direction+1)/2); 非円弧:0.5</x:v>
      </x:c>
      <x:c r="E19" s="4" t="str">
        <x:v>{0,0.5,1}</x:v>
      </x:c>
      <x:c r="F19" s="4" t="str">
        <x:v>反時計回り（左カーブ）</x:v>
      </x:c>
      <x:c r="G19" s="4" t="str">
        <x:v>非円弧（通常は直線）</x:v>
      </x:c>
      <x:c r="H19" s="4" t="str">
        <x:v>時計回り（右カーブ）</x:v>
      </x:c>
      <x:c r="I19" s="4" t="str">
        <x:v>CircularLane.direction=-1 if clockwise else +1。0.5を左・右の中間の旋回と解釈しない。</x:v>
      </x:c>
      <x:c r="J19" s="4" t="str">
        <x:v>S01;S03;S11</x:v>
      </x:c>
      <x:c r="K19" s="4" t="str">
        <x:v>https://raw.githubusercontent.com/metadriverse/metadrive/85e5dadc6c7436d324348f6e3d8f8e680c06b4db/metadrive/obs/state_obs.py</x:v>
      </x:c>
    </x:row>
    <x:row r="20" ht="115" customHeight="1">
      <x:c r="A20" s="14" t="n">
        <x:v>18</x:v>
      </x:c>
      <x:c r="B20" s="4" t="str">
        <x:v>次の経路道路（なければ現在と同じ道路）の円弧全体の中心角 A（曲がる角度の大きさ）</x:v>
      </x:c>
      <x:c r="C20" s="4" t="str">
        <x:v>degree</x:v>
      </x:c>
      <x:c r="D20" s="4" t="str">
        <x:v>円弧:C((A/135+1)/2); 非円弧:0.5</x:v>
      </x:c>
      <x:c r="E20" s="4" t="str">
        <x:v>[0.5,1]。Cブロック円弧A∈[45,135]なら[2/3,1]</x:v>
      </x:c>
      <x:c r="F20" s="4" t="str">
        <x:v>通常生成されない。逆算上A=−135°</x:v>
      </x:c>
      <x:c r="G20" s="4" t="str">
        <x:v>非円弧A=0°</x:v>
      </x:c>
      <x:c r="H20" s="4" t="str">
        <x:v>A≥135°</x:v>
      </x:c>
      <x:c r="I20" s="4" t="str">
        <x:v>自車とレーンの向き誤差でも絶対方位でもない。CircularLane.angle&gt;0。左右は直前の方向入力で別表現。</x:v>
      </x:c>
      <x:c r="J20" s="4" t="str">
        <x:v>S01;S03;S06;S11</x:v>
      </x:c>
      <x:c r="K20" s="4" t="str">
        <x:v>https://raw.githubusercontent.com/metadriverse/metadrive/85e5dadc6c7436d324348f6e3d8f8e680c06b4db/metadrive/obs/state_obs.py</x:v>
      </x:c>
    </x:row>
    <x:row r="21" ht="92" customHeight="1">
      <x:c r="A21" s="14" t="n">
        <x:v>19</x:v>
      </x:c>
      <x:c r="B21" s="4" t="str">
        <x:v>LiDARビーム000：車体前方から実装角度+0°（前）</x:v>
      </x:c>
      <x:c r="C21" s="4" t="str">
        <x:v>m</x:v>
      </x:c>
      <x:c r="D21" s="4" t="str">
        <x:v>検出時:d/50（レイHitFraction）; 未検出・検査対象外:1</x:v>
      </x:c>
      <x:c r="E21" s="4" t="str">
        <x:v>[0,1]（gaussian_noise=0, dropout_prob=0）</x:v>
      </x:c>
      <x:c r="F21" s="4" t="str">
        <x:v>レイ始点から0 mの交点相当</x:v>
      </x:c>
      <x:c r="G21" s="4" t="str">
        <x:v>検出交点まで25 m</x:v>
      </x:c>
      <x:c r="H21" s="4" t="str">
        <x:v>未検出・50 m終端・検査対象外</x:v>
      </x:c>
      <x:c r="I21" s="4" t="str">
        <x:v>ビーム番号0; 相対角0°。実装レイ終点はθ+2πk/240。右手XYでは角度増加は左回り。旧コメントclockwiseと不一致。dは車両中心XYから対象表面までで、車体前端からの車間距離ではない。</x:v>
      </x:c>
      <x:c r="J21" s="4" t="str">
        <x:v>S01;S07;S08;S09;S10;S13;S17</x:v>
      </x:c>
      <x:c r="K21" s="4" t="str">
        <x:v>https://raw.githubusercontent.com/metadriverse/metadrive/85e5dadc6c7436d324348f6e3d8f8e680c06b4db/metadrive/obs/state_obs.py</x:v>
      </x:c>
    </x:row>
    <x:row r="22" ht="92" customHeight="1">
      <x:c r="A22" s="14" t="n">
        <x:v>20</x:v>
      </x:c>
      <x:c r="B22" s="4" t="str">
        <x:v>LiDARビーム001：車体前方から実装角度+1.5°（前）</x:v>
      </x:c>
      <x:c r="C22" s="4" t="str">
        <x:v>m</x:v>
      </x:c>
      <x:c r="D22" s="4" t="str">
        <x:v>検出時:d/50（レイHitFraction）; 未検出・検査対象外:1</x:v>
      </x:c>
      <x:c r="E22" s="4" t="str">
        <x:v>[0,1]（gaussian_noise=0, dropout_prob=0）</x:v>
      </x:c>
      <x:c r="F22" s="4" t="str">
        <x:v>レイ始点から0 mの交点相当</x:v>
      </x:c>
      <x:c r="G22" s="4" t="str">
        <x:v>検出交点まで25 m</x:v>
      </x:c>
      <x:c r="H22" s="4" t="str">
        <x:v>未検出・50 m終端・検査対象外</x:v>
      </x:c>
      <x:c r="I22" s="4" t="str">
        <x:v>ビーム番号1; 相対角1.5°。実装レイ終点はθ+2πk/240。右手XYでは角度増加は左回り。旧コメントclockwiseと不一致。dは車両中心XYから対象表面までで、車体前端からの車間距離ではない。</x:v>
      </x:c>
      <x:c r="J22" s="4" t="str">
        <x:v>S01;S07;S08;S09;S10;S13;S17</x:v>
      </x:c>
      <x:c r="K22" s="4" t="str">
        <x:v>https://raw.githubusercontent.com/metadriverse/metadrive/85e5dadc6c7436d324348f6e3d8f8e680c06b4db/metadrive/obs/state_obs.py</x:v>
      </x:c>
    </x:row>
    <x:row r="23" ht="92" customHeight="1">
      <x:c r="A23" s="14" t="n">
        <x:v>21</x:v>
      </x:c>
      <x:c r="B23" s="4" t="str">
        <x:v>LiDARビーム002：車体前方から実装角度+3°（前）</x:v>
      </x:c>
      <x:c r="C23" s="4" t="str">
        <x:v>m</x:v>
      </x:c>
      <x:c r="D23" s="4" t="str">
        <x:v>検出時:d/50（レイHitFraction）; 未検出・検査対象外:1</x:v>
      </x:c>
      <x:c r="E23" s="4" t="str">
        <x:v>[0,1]（gaussian_noise=0, dropout_prob=0）</x:v>
      </x:c>
      <x:c r="F23" s="4" t="str">
        <x:v>レイ始点から0 mの交点相当</x:v>
      </x:c>
      <x:c r="G23" s="4" t="str">
        <x:v>検出交点まで25 m</x:v>
      </x:c>
      <x:c r="H23" s="4" t="str">
        <x:v>未検出・50 m終端・検査対象外</x:v>
      </x:c>
      <x:c r="I23" s="4" t="str">
        <x:v>ビーム番号2; 相対角3°。実装レイ終点はθ+2πk/240。右手XYでは角度増加は左回り。旧コメントclockwiseと不一致。dは車両中心XYから対象表面までで、車体前端からの車間距離ではない。</x:v>
      </x:c>
      <x:c r="J23" s="4" t="str">
        <x:v>S01;S07;S08;S09;S10;S13;S17</x:v>
      </x:c>
      <x:c r="K23" s="4" t="str">
        <x:v>https://raw.githubusercontent.com/metadriverse/metadrive/85e5dadc6c7436d324348f6e3d8f8e680c06b4db/metadrive/obs/state_obs.py</x:v>
      </x:c>
    </x:row>
    <x:row r="24" ht="92" customHeight="1">
      <x:c r="A24" s="14" t="n">
        <x:v>22</x:v>
      </x:c>
      <x:c r="B24" s="4" t="str">
        <x:v>LiDARビーム003：車体前方から実装角度+4.5°（前）</x:v>
      </x:c>
      <x:c r="C24" s="4" t="str">
        <x:v>m</x:v>
      </x:c>
      <x:c r="D24" s="4" t="str">
        <x:v>検出時:d/50（レイHitFraction）; 未検出・検査対象外:1</x:v>
      </x:c>
      <x:c r="E24" s="4" t="str">
        <x:v>[0,1]（gaussian_noise=0, dropout_prob=0）</x:v>
      </x:c>
      <x:c r="F24" s="4" t="str">
        <x:v>レイ始点から0 mの交点相当</x:v>
      </x:c>
      <x:c r="G24" s="4" t="str">
        <x:v>検出交点まで25 m</x:v>
      </x:c>
      <x:c r="H24" s="4" t="str">
        <x:v>未検出・50 m終端・検査対象外</x:v>
      </x:c>
      <x:c r="I24" s="4" t="str">
        <x:v>ビーム番号3; 相対角4.5°。実装レイ終点はθ+2πk/240。右手XYでは角度増加は左回り。旧コメントclockwiseと不一致。dは車両中心XYから対象表面までで、車体前端からの車間距離ではない。</x:v>
      </x:c>
      <x:c r="J24" s="4" t="str">
        <x:v>S01;S07;S08;S09;S10;S13;S17</x:v>
      </x:c>
      <x:c r="K24" s="4" t="str">
        <x:v>https://raw.githubusercontent.com/metadriverse/metadrive/85e5dadc6c7436d324348f6e3d8f8e680c06b4db/metadrive/obs/state_obs.py</x:v>
      </x:c>
    </x:row>
    <x:row r="25" ht="92" customHeight="1">
      <x:c r="A25" s="14" t="n">
        <x:v>23</x:v>
      </x:c>
      <x:c r="B25" s="4" t="str">
        <x:v>LiDARビーム004：車体前方から実装角度+6°（前）</x:v>
      </x:c>
      <x:c r="C25" s="4" t="str">
        <x:v>m</x:v>
      </x:c>
      <x:c r="D25" s="4" t="str">
        <x:v>検出時:d/50（レイHitFraction）; 未検出・検査対象外:1</x:v>
      </x:c>
      <x:c r="E25" s="4" t="str">
        <x:v>[0,1]（gaussian_noise=0, dropout_prob=0）</x:v>
      </x:c>
      <x:c r="F25" s="4" t="str">
        <x:v>レイ始点から0 mの交点相当</x:v>
      </x:c>
      <x:c r="G25" s="4" t="str">
        <x:v>検出交点まで25 m</x:v>
      </x:c>
      <x:c r="H25" s="4" t="str">
        <x:v>未検出・50 m終端・検査対象外</x:v>
      </x:c>
      <x:c r="I25" s="4" t="str">
        <x:v>ビーム番号4; 相対角6°。実装レイ終点はθ+2πk/240。右手XYでは角度増加は左回り。旧コメントclockwiseと不一致。dは車両中心XYから対象表面までで、車体前端からの車間距離ではない。</x:v>
      </x:c>
      <x:c r="J25" s="4" t="str">
        <x:v>S01;S07;S08;S09;S10;S13;S17</x:v>
      </x:c>
      <x:c r="K25" s="4" t="str">
        <x:v>https://raw.githubusercontent.com/metadriverse/metadrive/85e5dadc6c7436d324348f6e3d8f8e680c06b4db/metadrive/obs/state_obs.py</x:v>
      </x:c>
    </x:row>
    <x:row r="26" ht="92" customHeight="1">
      <x:c r="A26" s="14" t="n">
        <x:v>24</x:v>
      </x:c>
      <x:c r="B26" s="4" t="str">
        <x:v>LiDARビーム005：車体前方から実装角度+7.5°（前）</x:v>
      </x:c>
      <x:c r="C26" s="4" t="str">
        <x:v>m</x:v>
      </x:c>
      <x:c r="D26" s="4" t="str">
        <x:v>検出時:d/50（レイHitFraction）; 未検出・検査対象外:1</x:v>
      </x:c>
      <x:c r="E26" s="4" t="str">
        <x:v>[0,1]（gaussian_noise=0, dropout_prob=0）</x:v>
      </x:c>
      <x:c r="F26" s="4" t="str">
        <x:v>レイ始点から0 mの交点相当</x:v>
      </x:c>
      <x:c r="G26" s="4" t="str">
        <x:v>検出交点まで25 m</x:v>
      </x:c>
      <x:c r="H26" s="4" t="str">
        <x:v>未検出・50 m終端・検査対象外</x:v>
      </x:c>
      <x:c r="I26" s="4" t="str">
        <x:v>ビーム番号5; 相対角7.5°。実装レイ終点はθ+2πk/240。右手XYでは角度増加は左回り。旧コメントclockwiseと不一致。dは車両中心XYから対象表面までで、車体前端からの車間距離ではない。</x:v>
      </x:c>
      <x:c r="J26" s="4" t="str">
        <x:v>S01;S07;S08;S09;S10;S13;S17</x:v>
      </x:c>
      <x:c r="K26" s="4" t="str">
        <x:v>https://raw.githubusercontent.com/metadriverse/metadrive/85e5dadc6c7436d324348f6e3d8f8e680c06b4db/metadrive/obs/state_obs.py</x:v>
      </x:c>
    </x:row>
    <x:row r="27" ht="92" customHeight="1">
      <x:c r="A27" s="14" t="n">
        <x:v>25</x:v>
      </x:c>
      <x:c r="B27" s="4" t="str">
        <x:v>LiDARビーム006：車体前方から実装角度+9°（前）</x:v>
      </x:c>
      <x:c r="C27" s="4" t="str">
        <x:v>m</x:v>
      </x:c>
      <x:c r="D27" s="4" t="str">
        <x:v>検出時:d/50（レイHitFraction）; 未検出・検査対象外:1</x:v>
      </x:c>
      <x:c r="E27" s="4" t="str">
        <x:v>[0,1]（gaussian_noise=0, dropout_prob=0）</x:v>
      </x:c>
      <x:c r="F27" s="4" t="str">
        <x:v>レイ始点から0 mの交点相当</x:v>
      </x:c>
      <x:c r="G27" s="4" t="str">
        <x:v>検出交点まで25 m</x:v>
      </x:c>
      <x:c r="H27" s="4" t="str">
        <x:v>未検出・50 m終端・検査対象外</x:v>
      </x:c>
      <x:c r="I27" s="4" t="str">
        <x:v>ビーム番号6; 相対角9°。実装レイ終点はθ+2πk/240。右手XYでは角度増加は左回り。旧コメントclockwiseと不一致。dは車両中心XYから対象表面までで、車体前端からの車間距離ではない。</x:v>
      </x:c>
      <x:c r="J27" s="4" t="str">
        <x:v>S01;S07;S08;S09;S10;S13;S17</x:v>
      </x:c>
      <x:c r="K27" s="4" t="str">
        <x:v>https://raw.githubusercontent.com/metadriverse/metadrive/85e5dadc6c7436d324348f6e3d8f8e680c06b4db/metadrive/obs/state_obs.py</x:v>
      </x:c>
    </x:row>
    <x:row r="28" ht="92" customHeight="1">
      <x:c r="A28" s="14" t="n">
        <x:v>26</x:v>
      </x:c>
      <x:c r="B28" s="4" t="str">
        <x:v>LiDARビーム007：車体前方から実装角度+10.5°（前）</x:v>
      </x:c>
      <x:c r="C28" s="4" t="str">
        <x:v>m</x:v>
      </x:c>
      <x:c r="D28" s="4" t="str">
        <x:v>検出時:d/50（レイHitFraction）; 未検出・検査対象外:1</x:v>
      </x:c>
      <x:c r="E28" s="4" t="str">
        <x:v>[0,1]（gaussian_noise=0, dropout_prob=0）</x:v>
      </x:c>
      <x:c r="F28" s="4" t="str">
        <x:v>レイ始点から0 mの交点相当</x:v>
      </x:c>
      <x:c r="G28" s="4" t="str">
        <x:v>検出交点まで25 m</x:v>
      </x:c>
      <x:c r="H28" s="4" t="str">
        <x:v>未検出・50 m終端・検査対象外</x:v>
      </x:c>
      <x:c r="I28" s="4" t="str">
        <x:v>ビーム番号7; 相対角10.5°。実装レイ終点はθ+2πk/240。右手XYでは角度増加は左回り。旧コメントclockwiseと不一致。dは車両中心XYから対象表面までで、車体前端からの車間距離ではない。</x:v>
      </x:c>
      <x:c r="J28" s="4" t="str">
        <x:v>S01;S07;S08;S09;S10;S13;S17</x:v>
      </x:c>
      <x:c r="K28" s="4" t="str">
        <x:v>https://raw.githubusercontent.com/metadriverse/metadrive/85e5dadc6c7436d324348f6e3d8f8e680c06b4db/metadrive/obs/state_obs.py</x:v>
      </x:c>
    </x:row>
    <x:row r="29" ht="92" customHeight="1">
      <x:c r="A29" s="14" t="n">
        <x:v>27</x:v>
      </x:c>
      <x:c r="B29" s="4" t="str">
        <x:v>LiDARビーム008：車体前方から実装角度+12°（前）</x:v>
      </x:c>
      <x:c r="C29" s="4" t="str">
        <x:v>m</x:v>
      </x:c>
      <x:c r="D29" s="4" t="str">
        <x:v>検出時:d/50（レイHitFraction）; 未検出・検査対象外:1</x:v>
      </x:c>
      <x:c r="E29" s="4" t="str">
        <x:v>[0,1]（gaussian_noise=0, dropout_prob=0）</x:v>
      </x:c>
      <x:c r="F29" s="4" t="str">
        <x:v>レイ始点から0 mの交点相当</x:v>
      </x:c>
      <x:c r="G29" s="4" t="str">
        <x:v>検出交点まで25 m</x:v>
      </x:c>
      <x:c r="H29" s="4" t="str">
        <x:v>未検出・50 m終端・検査対象外</x:v>
      </x:c>
      <x:c r="I29" s="4" t="str">
        <x:v>ビーム番号8; 相対角12°。実装レイ終点はθ+2πk/240。右手XYでは角度増加は左回り。旧コメントclockwiseと不一致。dは車両中心XYから対象表面までで、車体前端からの車間距離ではない。</x:v>
      </x:c>
      <x:c r="J29" s="4" t="str">
        <x:v>S01;S07;S08;S09;S10;S13;S17</x:v>
      </x:c>
      <x:c r="K29" s="4" t="str">
        <x:v>https://raw.githubusercontent.com/metadriverse/metadrive/85e5dadc6c7436d324348f6e3d8f8e680c06b4db/metadrive/obs/state_obs.py</x:v>
      </x:c>
    </x:row>
    <x:row r="30" ht="92" customHeight="1">
      <x:c r="A30" s="14" t="n">
        <x:v>28</x:v>
      </x:c>
      <x:c r="B30" s="4" t="str">
        <x:v>LiDARビーム009：車体前方から実装角度+13.5°（前）</x:v>
      </x:c>
      <x:c r="C30" s="4" t="str">
        <x:v>m</x:v>
      </x:c>
      <x:c r="D30" s="4" t="str">
        <x:v>検出時:d/50（レイHitFraction）; 未検出・検査対象外:1</x:v>
      </x:c>
      <x:c r="E30" s="4" t="str">
        <x:v>[0,1]（gaussian_noise=0, dropout_prob=0）</x:v>
      </x:c>
      <x:c r="F30" s="4" t="str">
        <x:v>レイ始点から0 mの交点相当</x:v>
      </x:c>
      <x:c r="G30" s="4" t="str">
        <x:v>検出交点まで25 m</x:v>
      </x:c>
      <x:c r="H30" s="4" t="str">
        <x:v>未検出・50 m終端・検査対象外</x:v>
      </x:c>
      <x:c r="I30" s="4" t="str">
        <x:v>ビーム番号9; 相対角13.5°。実装レイ終点はθ+2πk/240。右手XYでは角度増加は左回り。旧コメントclockwiseと不一致。dは車両中心XYから対象表面までで、車体前端からの車間距離ではない。</x:v>
      </x:c>
      <x:c r="J30" s="4" t="str">
        <x:v>S01;S07;S08;S09;S10;S13;S17</x:v>
      </x:c>
      <x:c r="K30" s="4" t="str">
        <x:v>https://raw.githubusercontent.com/metadriverse/metadrive/85e5dadc6c7436d324348f6e3d8f8e680c06b4db/metadrive/obs/state_obs.py</x:v>
      </x:c>
    </x:row>
    <x:row r="31" ht="92" customHeight="1">
      <x:c r="A31" s="14" t="n">
        <x:v>29</x:v>
      </x:c>
      <x:c r="B31" s="4" t="str">
        <x:v>LiDARビーム010：車体前方から実装角度+15°（前）</x:v>
      </x:c>
      <x:c r="C31" s="4" t="str">
        <x:v>m</x:v>
      </x:c>
      <x:c r="D31" s="4" t="str">
        <x:v>検出時:d/50（レイHitFraction）; 未検出・検査対象外:1</x:v>
      </x:c>
      <x:c r="E31" s="4" t="str">
        <x:v>[0,1]（gaussian_noise=0, dropout_prob=0）</x:v>
      </x:c>
      <x:c r="F31" s="4" t="str">
        <x:v>レイ始点から0 mの交点相当</x:v>
      </x:c>
      <x:c r="G31" s="4" t="str">
        <x:v>検出交点まで25 m</x:v>
      </x:c>
      <x:c r="H31" s="4" t="str">
        <x:v>未検出・50 m終端・検査対象外</x:v>
      </x:c>
      <x:c r="I31" s="4" t="str">
        <x:v>ビーム番号10; 相対角15°。実装レイ終点はθ+2πk/240。右手XYでは角度増加は左回り。旧コメントclockwiseと不一致。dは車両中心XYから対象表面までで、車体前端からの車間距離ではない。</x:v>
      </x:c>
      <x:c r="J31" s="4" t="str">
        <x:v>S01;S07;S08;S09;S10;S13;S17</x:v>
      </x:c>
      <x:c r="K31" s="4" t="str">
        <x:v>https://raw.githubusercontent.com/metadriverse/metadrive/85e5dadc6c7436d324348f6e3d8f8e680c06b4db/metadrive/obs/state_obs.py</x:v>
      </x:c>
    </x:row>
    <x:row r="32" ht="92" customHeight="1">
      <x:c r="A32" s="14" t="n">
        <x:v>30</x:v>
      </x:c>
      <x:c r="B32" s="4" t="str">
        <x:v>LiDARビーム011：車体前方から実装角度+16.5°（前）</x:v>
      </x:c>
      <x:c r="C32" s="4" t="str">
        <x:v>m</x:v>
      </x:c>
      <x:c r="D32" s="4" t="str">
        <x:v>検出時:d/50（レイHitFraction）; 未検出・検査対象外:1</x:v>
      </x:c>
      <x:c r="E32" s="4" t="str">
        <x:v>[0,1]（gaussian_noise=0, dropout_prob=0）</x:v>
      </x:c>
      <x:c r="F32" s="4" t="str">
        <x:v>レイ始点から0 mの交点相当</x:v>
      </x:c>
      <x:c r="G32" s="4" t="str">
        <x:v>検出交点まで25 m</x:v>
      </x:c>
      <x:c r="H32" s="4" t="str">
        <x:v>未検出・50 m終端・検査対象外</x:v>
      </x:c>
      <x:c r="I32" s="4" t="str">
        <x:v>ビーム番号11; 相対角16.5°。実装レイ終点はθ+2πk/240。右手XYでは角度増加は左回り。旧コメントclockwiseと不一致。dは車両中心XYから対象表面までで、車体前端からの車間距離ではない。</x:v>
      </x:c>
      <x:c r="J32" s="4" t="str">
        <x:v>S01;S07;S08;S09;S10;S13;S17</x:v>
      </x:c>
      <x:c r="K32" s="4" t="str">
        <x:v>https://raw.githubusercontent.com/metadriverse/metadrive/85e5dadc6c7436d324348f6e3d8f8e680c06b4db/metadrive/obs/state_obs.py</x:v>
      </x:c>
    </x:row>
    <x:row r="33" ht="92" customHeight="1">
      <x:c r="A33" s="14" t="n">
        <x:v>31</x:v>
      </x:c>
      <x:c r="B33" s="4" t="str">
        <x:v>LiDARビーム012：車体前方から実装角度+18°（前）</x:v>
      </x:c>
      <x:c r="C33" s="4" t="str">
        <x:v>m</x:v>
      </x:c>
      <x:c r="D33" s="4" t="str">
        <x:v>検出時:d/50（レイHitFraction）; 未検出・検査対象外:1</x:v>
      </x:c>
      <x:c r="E33" s="4" t="str">
        <x:v>[0,1]（gaussian_noise=0, dropout_prob=0）</x:v>
      </x:c>
      <x:c r="F33" s="4" t="str">
        <x:v>レイ始点から0 mの交点相当</x:v>
      </x:c>
      <x:c r="G33" s="4" t="str">
        <x:v>検出交点まで25 m</x:v>
      </x:c>
      <x:c r="H33" s="4" t="str">
        <x:v>未検出・50 m終端・検査対象外</x:v>
      </x:c>
      <x:c r="I33" s="4" t="str">
        <x:v>ビーム番号12; 相対角18°。実装レイ終点はθ+2πk/240。右手XYでは角度増加は左回り。旧コメントclockwiseと不一致。dは車両中心XYから対象表面までで、車体前端からの車間距離ではない。</x:v>
      </x:c>
      <x:c r="J33" s="4" t="str">
        <x:v>S01;S07;S08;S09;S10;S13;S17</x:v>
      </x:c>
      <x:c r="K33" s="4" t="str">
        <x:v>https://raw.githubusercontent.com/metadriverse/metadrive/85e5dadc6c7436d324348f6e3d8f8e680c06b4db/metadrive/obs/state_obs.py</x:v>
      </x:c>
    </x:row>
    <x:row r="34" ht="92" customHeight="1">
      <x:c r="A34" s="14" t="n">
        <x:v>32</x:v>
      </x:c>
      <x:c r="B34" s="4" t="str">
        <x:v>LiDARビーム013：車体前方から実装角度+19.5°（前）</x:v>
      </x:c>
      <x:c r="C34" s="4" t="str">
        <x:v>m</x:v>
      </x:c>
      <x:c r="D34" s="4" t="str">
        <x:v>検出時:d/50（レイHitFraction）; 未検出・検査対象外:1</x:v>
      </x:c>
      <x:c r="E34" s="4" t="str">
        <x:v>[0,1]（gaussian_noise=0, dropout_prob=0）</x:v>
      </x:c>
      <x:c r="F34" s="4" t="str">
        <x:v>レイ始点から0 mの交点相当</x:v>
      </x:c>
      <x:c r="G34" s="4" t="str">
        <x:v>検出交点まで25 m</x:v>
      </x:c>
      <x:c r="H34" s="4" t="str">
        <x:v>未検出・50 m終端・検査対象外</x:v>
      </x:c>
      <x:c r="I34" s="4" t="str">
        <x:v>ビーム番号13; 相対角19.5°。実装レイ終点はθ+2πk/240。右手XYでは角度増加は左回り。旧コメントclockwiseと不一致。dは車両中心XYから対象表面までで、車体前端からの車間距離ではない。</x:v>
      </x:c>
      <x:c r="J34" s="4" t="str">
        <x:v>S01;S07;S08;S09;S10;S13;S17</x:v>
      </x:c>
      <x:c r="K34" s="4" t="str">
        <x:v>https://raw.githubusercontent.com/metadriverse/metadrive/85e5dadc6c7436d324348f6e3d8f8e680c06b4db/metadrive/obs/state_obs.py</x:v>
      </x:c>
    </x:row>
    <x:row r="35" ht="92" customHeight="1">
      <x:c r="A35" s="14" t="n">
        <x:v>33</x:v>
      </x:c>
      <x:c r="B35" s="4" t="str">
        <x:v>LiDARビーム014：車体前方から実装角度+21°（前）</x:v>
      </x:c>
      <x:c r="C35" s="4" t="str">
        <x:v>m</x:v>
      </x:c>
      <x:c r="D35" s="4" t="str">
        <x:v>検出時:d/50（レイHitFraction）; 未検出・検査対象外:1</x:v>
      </x:c>
      <x:c r="E35" s="4" t="str">
        <x:v>[0,1]（gaussian_noise=0, dropout_prob=0）</x:v>
      </x:c>
      <x:c r="F35" s="4" t="str">
        <x:v>レイ始点から0 mの交点相当</x:v>
      </x:c>
      <x:c r="G35" s="4" t="str">
        <x:v>検出交点まで25 m</x:v>
      </x:c>
      <x:c r="H35" s="4" t="str">
        <x:v>未検出・50 m終端・検査対象外</x:v>
      </x:c>
      <x:c r="I35" s="4" t="str">
        <x:v>ビーム番号14; 相対角21°。実装レイ終点はθ+2πk/240。右手XYでは角度増加は左回り。旧コメントclockwiseと不一致。dは車両中心XYから対象表面までで、車体前端からの車間距離ではない。</x:v>
      </x:c>
      <x:c r="J35" s="4" t="str">
        <x:v>S01;S07;S08;S09;S10;S13;S17</x:v>
      </x:c>
      <x:c r="K35" s="4" t="str">
        <x:v>https://raw.githubusercontent.com/metadriverse/metadrive/85e5dadc6c7436d324348f6e3d8f8e680c06b4db/metadrive/obs/state_obs.py</x:v>
      </x:c>
    </x:row>
    <x:row r="36" ht="92" customHeight="1">
      <x:c r="A36" s="14" t="n">
        <x:v>34</x:v>
      </x:c>
      <x:c r="B36" s="4" t="str">
        <x:v>LiDARビーム015：車体前方から実装角度+22.5°（前）</x:v>
      </x:c>
      <x:c r="C36" s="4" t="str">
        <x:v>m</x:v>
      </x:c>
      <x:c r="D36" s="4" t="str">
        <x:v>検出時:d/50（レイHitFraction）; 未検出・検査対象外:1</x:v>
      </x:c>
      <x:c r="E36" s="4" t="str">
        <x:v>[0,1]（gaussian_noise=0, dropout_prob=0）</x:v>
      </x:c>
      <x:c r="F36" s="4" t="str">
        <x:v>レイ始点から0 mの交点相当</x:v>
      </x:c>
      <x:c r="G36" s="4" t="str">
        <x:v>検出交点まで25 m</x:v>
      </x:c>
      <x:c r="H36" s="4" t="str">
        <x:v>未検出・50 m終端・検査対象外</x:v>
      </x:c>
      <x:c r="I36" s="4" t="str">
        <x:v>ビーム番号15; 相対角22.5°。実装レイ終点はθ+2πk/240。右手XYでは角度増加は左回り。旧コメントclockwiseと不一致。dは車両中心XYから対象表面までで、車体前端からの車間距離ではない。</x:v>
      </x:c>
      <x:c r="J36" s="4" t="str">
        <x:v>S01;S07;S08;S09;S10;S13;S17</x:v>
      </x:c>
      <x:c r="K36" s="4" t="str">
        <x:v>https://raw.githubusercontent.com/metadriverse/metadrive/85e5dadc6c7436d324348f6e3d8f8e680c06b4db/metadrive/obs/state_obs.py</x:v>
      </x:c>
    </x:row>
    <x:row r="37" ht="92" customHeight="1">
      <x:c r="A37" s="14" t="n">
        <x:v>35</x:v>
      </x:c>
      <x:c r="B37" s="4" t="str">
        <x:v>LiDARビーム016：車体前方から実装角度+24°（前）</x:v>
      </x:c>
      <x:c r="C37" s="4" t="str">
        <x:v>m</x:v>
      </x:c>
      <x:c r="D37" s="4" t="str">
        <x:v>検出時:d/50（レイHitFraction）; 未検出・検査対象外:1</x:v>
      </x:c>
      <x:c r="E37" s="4" t="str">
        <x:v>[0,1]（gaussian_noise=0, dropout_prob=0）</x:v>
      </x:c>
      <x:c r="F37" s="4" t="str">
        <x:v>レイ始点から0 mの交点相当</x:v>
      </x:c>
      <x:c r="G37" s="4" t="str">
        <x:v>検出交点まで25 m</x:v>
      </x:c>
      <x:c r="H37" s="4" t="str">
        <x:v>未検出・50 m終端・検査対象外</x:v>
      </x:c>
      <x:c r="I37" s="4" t="str">
        <x:v>ビーム番号16; 相対角24°。実装レイ終点はθ+2πk/240。右手XYでは角度増加は左回り。旧コメントclockwiseと不一致。dは車両中心XYから対象表面までで、車体前端からの車間距離ではない。</x:v>
      </x:c>
      <x:c r="J37" s="4" t="str">
        <x:v>S01;S07;S08;S09;S10;S13;S17</x:v>
      </x:c>
      <x:c r="K37" s="4" t="str">
        <x:v>https://raw.githubusercontent.com/metadriverse/metadrive/85e5dadc6c7436d324348f6e3d8f8e680c06b4db/metadrive/obs/state_obs.py</x:v>
      </x:c>
    </x:row>
    <x:row r="38" ht="92" customHeight="1">
      <x:c r="A38" s="14" t="n">
        <x:v>36</x:v>
      </x:c>
      <x:c r="B38" s="4" t="str">
        <x:v>LiDARビーム017：車体前方から実装角度+25.5°（前）</x:v>
      </x:c>
      <x:c r="C38" s="4" t="str">
        <x:v>m</x:v>
      </x:c>
      <x:c r="D38" s="4" t="str">
        <x:v>検出時:d/50（レイHitFraction）; 未検出・検査対象外:1</x:v>
      </x:c>
      <x:c r="E38" s="4" t="str">
        <x:v>[0,1]（gaussian_noise=0, dropout_prob=0）</x:v>
      </x:c>
      <x:c r="F38" s="4" t="str">
        <x:v>レイ始点から0 mの交点相当</x:v>
      </x:c>
      <x:c r="G38" s="4" t="str">
        <x:v>検出交点まで25 m</x:v>
      </x:c>
      <x:c r="H38" s="4" t="str">
        <x:v>未検出・50 m終端・検査対象外</x:v>
      </x:c>
      <x:c r="I38" s="4" t="str">
        <x:v>ビーム番号17; 相対角25.5°。実装レイ終点はθ+2πk/240。右手XYでは角度増加は左回り。旧コメントclockwiseと不一致。dは車両中心XYから対象表面までで、車体前端からの車間距離ではない。</x:v>
      </x:c>
      <x:c r="J38" s="4" t="str">
        <x:v>S01;S07;S08;S09;S10;S13;S17</x:v>
      </x:c>
      <x:c r="K38" s="4" t="str">
        <x:v>https://raw.githubusercontent.com/metadriverse/metadrive/85e5dadc6c7436d324348f6e3d8f8e680c06b4db/metadrive/obs/state_obs.py</x:v>
      </x:c>
    </x:row>
    <x:row r="39" ht="92" customHeight="1">
      <x:c r="A39" s="14" t="n">
        <x:v>37</x:v>
      </x:c>
      <x:c r="B39" s="4" t="str">
        <x:v>LiDARビーム018：車体前方から実装角度+27°（前）</x:v>
      </x:c>
      <x:c r="C39" s="4" t="str">
        <x:v>m</x:v>
      </x:c>
      <x:c r="D39" s="4" t="str">
        <x:v>検出時:d/50（レイHitFraction）; 未検出・検査対象外:1</x:v>
      </x:c>
      <x:c r="E39" s="4" t="str">
        <x:v>[0,1]（gaussian_noise=0, dropout_prob=0）</x:v>
      </x:c>
      <x:c r="F39" s="4" t="str">
        <x:v>レイ始点から0 mの交点相当</x:v>
      </x:c>
      <x:c r="G39" s="4" t="str">
        <x:v>検出交点まで25 m</x:v>
      </x:c>
      <x:c r="H39" s="4" t="str">
        <x:v>未検出・50 m終端・検査対象外</x:v>
      </x:c>
      <x:c r="I39" s="4" t="str">
        <x:v>ビーム番号18; 相対角27°。実装レイ終点はθ+2πk/240。右手XYでは角度増加は左回り。旧コメントclockwiseと不一致。dは車両中心XYから対象表面までで、車体前端からの車間距離ではない。</x:v>
      </x:c>
      <x:c r="J39" s="4" t="str">
        <x:v>S01;S07;S08;S09;S10;S13;S17</x:v>
      </x:c>
      <x:c r="K39" s="4" t="str">
        <x:v>https://raw.githubusercontent.com/metadriverse/metadrive/85e5dadc6c7436d324348f6e3d8f8e680c06b4db/metadrive/obs/state_obs.py</x:v>
      </x:c>
    </x:row>
    <x:row r="40" ht="92" customHeight="1">
      <x:c r="A40" s="14" t="n">
        <x:v>38</x:v>
      </x:c>
      <x:c r="B40" s="4" t="str">
        <x:v>LiDARビーム019：車体前方から実装角度+28.5°（前）</x:v>
      </x:c>
      <x:c r="C40" s="4" t="str">
        <x:v>m</x:v>
      </x:c>
      <x:c r="D40" s="4" t="str">
        <x:v>検出時:d/50（レイHitFraction）; 未検出・検査対象外:1</x:v>
      </x:c>
      <x:c r="E40" s="4" t="str">
        <x:v>[0,1]（gaussian_noise=0, dropout_prob=0）</x:v>
      </x:c>
      <x:c r="F40" s="4" t="str">
        <x:v>レイ始点から0 mの交点相当</x:v>
      </x:c>
      <x:c r="G40" s="4" t="str">
        <x:v>検出交点まで25 m</x:v>
      </x:c>
      <x:c r="H40" s="4" t="str">
        <x:v>未検出・50 m終端・検査対象外</x:v>
      </x:c>
      <x:c r="I40" s="4" t="str">
        <x:v>ビーム番号19; 相対角28.5°。実装レイ終点はθ+2πk/240。右手XYでは角度増加は左回り。旧コメントclockwiseと不一致。dは車両中心XYから対象表面までで、車体前端からの車間距離ではない。</x:v>
      </x:c>
      <x:c r="J40" s="4" t="str">
        <x:v>S01;S07;S08;S09;S10;S13;S17</x:v>
      </x:c>
      <x:c r="K40" s="4" t="str">
        <x:v>https://raw.githubusercontent.com/metadriverse/metadrive/85e5dadc6c7436d324348f6e3d8f8e680c06b4db/metadrive/obs/state_obs.py</x:v>
      </x:c>
    </x:row>
    <x:row r="41" ht="92" customHeight="1">
      <x:c r="A41" s="14" t="n">
        <x:v>39</x:v>
      </x:c>
      <x:c r="B41" s="4" t="str">
        <x:v>LiDARビーム020：車体前方から実装角度+30°（前）</x:v>
      </x:c>
      <x:c r="C41" s="4" t="str">
        <x:v>m</x:v>
      </x:c>
      <x:c r="D41" s="4" t="str">
        <x:v>検出時:d/50（レイHitFraction）; 未検出・検査対象外:1</x:v>
      </x:c>
      <x:c r="E41" s="4" t="str">
        <x:v>[0,1]（gaussian_noise=0, dropout_prob=0）</x:v>
      </x:c>
      <x:c r="F41" s="4" t="str">
        <x:v>レイ始点から0 mの交点相当</x:v>
      </x:c>
      <x:c r="G41" s="4" t="str">
        <x:v>検出交点まで25 m</x:v>
      </x:c>
      <x:c r="H41" s="4" t="str">
        <x:v>未検出・50 m終端・検査対象外</x:v>
      </x:c>
      <x:c r="I41" s="4" t="str">
        <x:v>ビーム番号20; 相対角30°。実装レイ終点はθ+2πk/240。右手XYでは角度増加は左回り。旧コメントclockwiseと不一致。dは車両中心XYから対象表面までで、車体前端からの車間距離ではない。</x:v>
      </x:c>
      <x:c r="J41" s="4" t="str">
        <x:v>S01;S07;S08;S09;S10;S13;S17</x:v>
      </x:c>
      <x:c r="K41" s="4" t="str">
        <x:v>https://raw.githubusercontent.com/metadriverse/metadrive/85e5dadc6c7436d324348f6e3d8f8e680c06b4db/metadrive/obs/state_obs.py</x:v>
      </x:c>
    </x:row>
    <x:row r="42" ht="92" customHeight="1">
      <x:c r="A42" s="14" t="n">
        <x:v>40</x:v>
      </x:c>
      <x:c r="B42" s="4" t="str">
        <x:v>LiDARビーム021：車体前方から実装角度+31.5°（前）</x:v>
      </x:c>
      <x:c r="C42" s="4" t="str">
        <x:v>m</x:v>
      </x:c>
      <x:c r="D42" s="4" t="str">
        <x:v>検出時:d/50（レイHitFraction）; 未検出・検査対象外:1</x:v>
      </x:c>
      <x:c r="E42" s="4" t="str">
        <x:v>[0,1]（gaussian_noise=0, dropout_prob=0）</x:v>
      </x:c>
      <x:c r="F42" s="4" t="str">
        <x:v>レイ始点から0 mの交点相当</x:v>
      </x:c>
      <x:c r="G42" s="4" t="str">
        <x:v>検出交点まで25 m</x:v>
      </x:c>
      <x:c r="H42" s="4" t="str">
        <x:v>未検出・50 m終端・検査対象外</x:v>
      </x:c>
      <x:c r="I42" s="4" t="str">
        <x:v>ビーム番号21; 相対角31.5°。実装レイ終点はθ+2πk/240。右手XYでは角度増加は左回り。旧コメントclockwiseと不一致。dは車両中心XYから対象表面までで、車体前端からの車間距離ではない。</x:v>
      </x:c>
      <x:c r="J42" s="4" t="str">
        <x:v>S01;S07;S08;S09;S10;S13;S17</x:v>
      </x:c>
      <x:c r="K42" s="4" t="str">
        <x:v>https://raw.githubusercontent.com/metadriverse/metadrive/85e5dadc6c7436d324348f6e3d8f8e680c06b4db/metadrive/obs/state_obs.py</x:v>
      </x:c>
    </x:row>
    <x:row r="43" ht="92" customHeight="1">
      <x:c r="A43" s="14" t="n">
        <x:v>41</x:v>
      </x:c>
      <x:c r="B43" s="4" t="str">
        <x:v>LiDARビーム022：車体前方から実装角度+33°（前）</x:v>
      </x:c>
      <x:c r="C43" s="4" t="str">
        <x:v>m</x:v>
      </x:c>
      <x:c r="D43" s="4" t="str">
        <x:v>検出時:d/50（レイHitFraction）; 未検出・検査対象外:1</x:v>
      </x:c>
      <x:c r="E43" s="4" t="str">
        <x:v>[0,1]（gaussian_noise=0, dropout_prob=0）</x:v>
      </x:c>
      <x:c r="F43" s="4" t="str">
        <x:v>レイ始点から0 mの交点相当</x:v>
      </x:c>
      <x:c r="G43" s="4" t="str">
        <x:v>検出交点まで25 m</x:v>
      </x:c>
      <x:c r="H43" s="4" t="str">
        <x:v>未検出・50 m終端・検査対象外</x:v>
      </x:c>
      <x:c r="I43" s="4" t="str">
        <x:v>ビーム番号22; 相対角33°。実装レイ終点はθ+2πk/240。右手XYでは角度増加は左回り。旧コメントclockwiseと不一致。dは車両中心XYから対象表面までで、車体前端からの車間距離ではない。</x:v>
      </x:c>
      <x:c r="J43" s="4" t="str">
        <x:v>S01;S07;S08;S09;S10;S13;S17</x:v>
      </x:c>
      <x:c r="K43" s="4" t="str">
        <x:v>https://raw.githubusercontent.com/metadriverse/metadrive/85e5dadc6c7436d324348f6e3d8f8e680c06b4db/metadrive/obs/state_obs.py</x:v>
      </x:c>
    </x:row>
    <x:row r="44" ht="92" customHeight="1">
      <x:c r="A44" s="14" t="n">
        <x:v>42</x:v>
      </x:c>
      <x:c r="B44" s="4" t="str">
        <x:v>LiDARビーム023：車体前方から実装角度+34.5°（前）</x:v>
      </x:c>
      <x:c r="C44" s="4" t="str">
        <x:v>m</x:v>
      </x:c>
      <x:c r="D44" s="4" t="str">
        <x:v>検出時:d/50（レイHitFraction）; 未検出・検査対象外:1</x:v>
      </x:c>
      <x:c r="E44" s="4" t="str">
        <x:v>[0,1]（gaussian_noise=0, dropout_prob=0）</x:v>
      </x:c>
      <x:c r="F44" s="4" t="str">
        <x:v>レイ始点から0 mの交点相当</x:v>
      </x:c>
      <x:c r="G44" s="4" t="str">
        <x:v>検出交点まで25 m</x:v>
      </x:c>
      <x:c r="H44" s="4" t="str">
        <x:v>未検出・50 m終端・検査対象外</x:v>
      </x:c>
      <x:c r="I44" s="4" t="str">
        <x:v>ビーム番号23; 相対角34.5°。実装レイ終点はθ+2πk/240。右手XYでは角度増加は左回り。旧コメントclockwiseと不一致。dは車両中心XYから対象表面までで、車体前端からの車間距離ではない。</x:v>
      </x:c>
      <x:c r="J44" s="4" t="str">
        <x:v>S01;S07;S08;S09;S10;S13;S17</x:v>
      </x:c>
      <x:c r="K44" s="4" t="str">
        <x:v>https://raw.githubusercontent.com/metadriverse/metadrive/85e5dadc6c7436d324348f6e3d8f8e680c06b4db/metadrive/obs/state_obs.py</x:v>
      </x:c>
    </x:row>
    <x:row r="45" ht="92" customHeight="1">
      <x:c r="A45" s="14" t="n">
        <x:v>43</x:v>
      </x:c>
      <x:c r="B45" s="4" t="str">
        <x:v>LiDARビーム024：車体前方から実装角度+36°（前）</x:v>
      </x:c>
      <x:c r="C45" s="4" t="str">
        <x:v>m</x:v>
      </x:c>
      <x:c r="D45" s="4" t="str">
        <x:v>検出時:d/50（レイHitFraction）; 未検出・検査対象外:1</x:v>
      </x:c>
      <x:c r="E45" s="4" t="str">
        <x:v>[0,1]（gaussian_noise=0, dropout_prob=0）</x:v>
      </x:c>
      <x:c r="F45" s="4" t="str">
        <x:v>レイ始点から0 mの交点相当</x:v>
      </x:c>
      <x:c r="G45" s="4" t="str">
        <x:v>検出交点まで25 m</x:v>
      </x:c>
      <x:c r="H45" s="4" t="str">
        <x:v>未検出・50 m終端・検査対象外</x:v>
      </x:c>
      <x:c r="I45" s="4" t="str">
        <x:v>ビーム番号24; 相対角36°。実装レイ終点はθ+2πk/240。右手XYでは角度増加は左回り。旧コメントclockwiseと不一致。dは車両中心XYから対象表面までで、車体前端からの車間距離ではない。</x:v>
      </x:c>
      <x:c r="J45" s="4" t="str">
        <x:v>S01;S07;S08;S09;S10;S13;S17</x:v>
      </x:c>
      <x:c r="K45" s="4" t="str">
        <x:v>https://raw.githubusercontent.com/metadriverse/metadrive/85e5dadc6c7436d324348f6e3d8f8e680c06b4db/metadrive/obs/state_obs.py</x:v>
      </x:c>
    </x:row>
    <x:row r="46" ht="92" customHeight="1">
      <x:c r="A46" s="14" t="n">
        <x:v>44</x:v>
      </x:c>
      <x:c r="B46" s="4" t="str">
        <x:v>LiDARビーム025：車体前方から実装角度+37.5°（前）</x:v>
      </x:c>
      <x:c r="C46" s="4" t="str">
        <x:v>m</x:v>
      </x:c>
      <x:c r="D46" s="4" t="str">
        <x:v>検出時:d/50（レイHitFraction）; 未検出・検査対象外:1</x:v>
      </x:c>
      <x:c r="E46" s="4" t="str">
        <x:v>[0,1]（gaussian_noise=0, dropout_prob=0）</x:v>
      </x:c>
      <x:c r="F46" s="4" t="str">
        <x:v>レイ始点から0 mの交点相当</x:v>
      </x:c>
      <x:c r="G46" s="4" t="str">
        <x:v>検出交点まで25 m</x:v>
      </x:c>
      <x:c r="H46" s="4" t="str">
        <x:v>未検出・50 m終端・検査対象外</x:v>
      </x:c>
      <x:c r="I46" s="4" t="str">
        <x:v>ビーム番号25; 相対角37.5°。実装レイ終点はθ+2πk/240。右手XYでは角度増加は左回り。旧コメントclockwiseと不一致。dは車両中心XYから対象表面までで、車体前端からの車間距離ではない。</x:v>
      </x:c>
      <x:c r="J46" s="4" t="str">
        <x:v>S01;S07;S08;S09;S10;S13;S17</x:v>
      </x:c>
      <x:c r="K46" s="4" t="str">
        <x:v>https://raw.githubusercontent.com/metadriverse/metadrive/85e5dadc6c7436d324348f6e3d8f8e680c06b4db/metadrive/obs/state_obs.py</x:v>
      </x:c>
    </x:row>
    <x:row r="47" ht="92" customHeight="1">
      <x:c r="A47" s="14" t="n">
        <x:v>45</x:v>
      </x:c>
      <x:c r="B47" s="4" t="str">
        <x:v>LiDARビーム026：車体前方から実装角度+39°（前）</x:v>
      </x:c>
      <x:c r="C47" s="4" t="str">
        <x:v>m</x:v>
      </x:c>
      <x:c r="D47" s="4" t="str">
        <x:v>検出時:d/50（レイHitFraction）; 未検出・検査対象外:1</x:v>
      </x:c>
      <x:c r="E47" s="4" t="str">
        <x:v>[0,1]（gaussian_noise=0, dropout_prob=0）</x:v>
      </x:c>
      <x:c r="F47" s="4" t="str">
        <x:v>レイ始点から0 mの交点相当</x:v>
      </x:c>
      <x:c r="G47" s="4" t="str">
        <x:v>検出交点まで25 m</x:v>
      </x:c>
      <x:c r="H47" s="4" t="str">
        <x:v>未検出・50 m終端・検査対象外</x:v>
      </x:c>
      <x:c r="I47" s="4" t="str">
        <x:v>ビーム番号26; 相対角39°。実装レイ終点はθ+2πk/240。右手XYでは角度増加は左回り。旧コメントclockwiseと不一致。dは車両中心XYから対象表面までで、車体前端からの車間距離ではない。</x:v>
      </x:c>
      <x:c r="J47" s="4" t="str">
        <x:v>S01;S07;S08;S09;S10;S13;S17</x:v>
      </x:c>
      <x:c r="K47" s="4" t="str">
        <x:v>https://raw.githubusercontent.com/metadriverse/metadrive/85e5dadc6c7436d324348f6e3d8f8e680c06b4db/metadrive/obs/state_obs.py</x:v>
      </x:c>
    </x:row>
    <x:row r="48" ht="92" customHeight="1">
      <x:c r="A48" s="14" t="n">
        <x:v>46</x:v>
      </x:c>
      <x:c r="B48" s="4" t="str">
        <x:v>LiDARビーム027：車体前方から実装角度+40.5°（前）</x:v>
      </x:c>
      <x:c r="C48" s="4" t="str">
        <x:v>m</x:v>
      </x:c>
      <x:c r="D48" s="4" t="str">
        <x:v>検出時:d/50（レイHitFraction）; 未検出・検査対象外:1</x:v>
      </x:c>
      <x:c r="E48" s="4" t="str">
        <x:v>[0,1]（gaussian_noise=0, dropout_prob=0）</x:v>
      </x:c>
      <x:c r="F48" s="4" t="str">
        <x:v>レイ始点から0 mの交点相当</x:v>
      </x:c>
      <x:c r="G48" s="4" t="str">
        <x:v>検出交点まで25 m</x:v>
      </x:c>
      <x:c r="H48" s="4" t="str">
        <x:v>未検出・50 m終端・検査対象外</x:v>
      </x:c>
      <x:c r="I48" s="4" t="str">
        <x:v>ビーム番号27; 相対角40.5°。実装レイ終点はθ+2πk/240。右手XYでは角度増加は左回り。旧コメントclockwiseと不一致。dは車両中心XYから対象表面までで、車体前端からの車間距離ではない。</x:v>
      </x:c>
      <x:c r="J48" s="4" t="str">
        <x:v>S01;S07;S08;S09;S10;S13;S17</x:v>
      </x:c>
      <x:c r="K48" s="4" t="str">
        <x:v>https://raw.githubusercontent.com/metadriverse/metadrive/85e5dadc6c7436d324348f6e3d8f8e680c06b4db/metadrive/obs/state_obs.py</x:v>
      </x:c>
    </x:row>
    <x:row r="49" ht="92" customHeight="1">
      <x:c r="A49" s="14" t="n">
        <x:v>47</x:v>
      </x:c>
      <x:c r="B49" s="4" t="str">
        <x:v>LiDARビーム028：車体前方から実装角度+42°（前）</x:v>
      </x:c>
      <x:c r="C49" s="4" t="str">
        <x:v>m</x:v>
      </x:c>
      <x:c r="D49" s="4" t="str">
        <x:v>検出時:d/50（レイHitFraction）; 未検出・検査対象外:1</x:v>
      </x:c>
      <x:c r="E49" s="4" t="str">
        <x:v>[0,1]（gaussian_noise=0, dropout_prob=0）</x:v>
      </x:c>
      <x:c r="F49" s="4" t="str">
        <x:v>レイ始点から0 mの交点相当</x:v>
      </x:c>
      <x:c r="G49" s="4" t="str">
        <x:v>検出交点まで25 m</x:v>
      </x:c>
      <x:c r="H49" s="4" t="str">
        <x:v>未検出・50 m終端・検査対象外</x:v>
      </x:c>
      <x:c r="I49" s="4" t="str">
        <x:v>ビーム番号28; 相対角42°。実装レイ終点はθ+2πk/240。右手XYでは角度増加は左回り。旧コメントclockwiseと不一致。dは車両中心XYから対象表面までで、車体前端からの車間距離ではない。</x:v>
      </x:c>
      <x:c r="J49" s="4" t="str">
        <x:v>S01;S07;S08;S09;S10;S13;S17</x:v>
      </x:c>
      <x:c r="K49" s="4" t="str">
        <x:v>https://raw.githubusercontent.com/metadriverse/metadrive/85e5dadc6c7436d324348f6e3d8f8e680c06b4db/metadrive/obs/state_obs.py</x:v>
      </x:c>
    </x:row>
    <x:row r="50" ht="92" customHeight="1">
      <x:c r="A50" s="14" t="n">
        <x:v>48</x:v>
      </x:c>
      <x:c r="B50" s="4" t="str">
        <x:v>LiDARビーム029：車体前方から実装角度+43.5°（前）</x:v>
      </x:c>
      <x:c r="C50" s="4" t="str">
        <x:v>m</x:v>
      </x:c>
      <x:c r="D50" s="4" t="str">
        <x:v>検出時:d/50（レイHitFraction）; 未検出・検査対象外:1</x:v>
      </x:c>
      <x:c r="E50" s="4" t="str">
        <x:v>[0,1]（gaussian_noise=0, dropout_prob=0）</x:v>
      </x:c>
      <x:c r="F50" s="4" t="str">
        <x:v>レイ始点から0 mの交点相当</x:v>
      </x:c>
      <x:c r="G50" s="4" t="str">
        <x:v>検出交点まで25 m</x:v>
      </x:c>
      <x:c r="H50" s="4" t="str">
        <x:v>未検出・50 m終端・検査対象外</x:v>
      </x:c>
      <x:c r="I50" s="4" t="str">
        <x:v>ビーム番号29; 相対角43.5°。実装レイ終点はθ+2πk/240。右手XYでは角度増加は左回り。旧コメントclockwiseと不一致。dは車両中心XYから対象表面までで、車体前端からの車間距離ではない。</x:v>
      </x:c>
      <x:c r="J50" s="4" t="str">
        <x:v>S01;S07;S08;S09;S10;S13;S17</x:v>
      </x:c>
      <x:c r="K50" s="4" t="str">
        <x:v>https://raw.githubusercontent.com/metadriverse/metadrive/85e5dadc6c7436d324348f6e3d8f8e680c06b4db/metadrive/obs/state_obs.py</x:v>
      </x:c>
    </x:row>
    <x:row r="51" ht="92" customHeight="1">
      <x:c r="A51" s="14" t="n">
        <x:v>49</x:v>
      </x:c>
      <x:c r="B51" s="4" t="str">
        <x:v>LiDARビーム030：車体前方から実装角度+45°（左）</x:v>
      </x:c>
      <x:c r="C51" s="4" t="str">
        <x:v>m</x:v>
      </x:c>
      <x:c r="D51" s="4" t="str">
        <x:v>検出時:d/50（レイHitFraction）; 未検出・検査対象外:1</x:v>
      </x:c>
      <x:c r="E51" s="4" t="str">
        <x:v>[0,1]（gaussian_noise=0, dropout_prob=0）</x:v>
      </x:c>
      <x:c r="F51" s="4" t="str">
        <x:v>レイ始点から0 mの交点相当</x:v>
      </x:c>
      <x:c r="G51" s="4" t="str">
        <x:v>検出交点まで25 m</x:v>
      </x:c>
      <x:c r="H51" s="4" t="str">
        <x:v>未検出・50 m終端・検査対象外</x:v>
      </x:c>
      <x:c r="I51" s="4" t="str">
        <x:v>ビーム番号30; 相対角45°。実装レイ終点はθ+2πk/240。右手XYでは角度増加は左回り。旧コメントclockwiseと不一致。dは車両中心XYから対象表面までで、車体前端からの車間距離ではない。</x:v>
      </x:c>
      <x:c r="J51" s="4" t="str">
        <x:v>S01;S07;S08;S09;S10;S13;S17</x:v>
      </x:c>
      <x:c r="K51" s="4" t="str">
        <x:v>https://raw.githubusercontent.com/metadriverse/metadrive/85e5dadc6c7436d324348f6e3d8f8e680c06b4db/metadrive/obs/state_obs.py</x:v>
      </x:c>
    </x:row>
    <x:row r="52" ht="92" customHeight="1">
      <x:c r="A52" s="14" t="n">
        <x:v>50</x:v>
      </x:c>
      <x:c r="B52" s="4" t="str">
        <x:v>LiDARビーム031：車体前方から実装角度+46.5°（左）</x:v>
      </x:c>
      <x:c r="C52" s="4" t="str">
        <x:v>m</x:v>
      </x:c>
      <x:c r="D52" s="4" t="str">
        <x:v>検出時:d/50（レイHitFraction）; 未検出・検査対象外:1</x:v>
      </x:c>
      <x:c r="E52" s="4" t="str">
        <x:v>[0,1]（gaussian_noise=0, dropout_prob=0）</x:v>
      </x:c>
      <x:c r="F52" s="4" t="str">
        <x:v>レイ始点から0 mの交点相当</x:v>
      </x:c>
      <x:c r="G52" s="4" t="str">
        <x:v>検出交点まで25 m</x:v>
      </x:c>
      <x:c r="H52" s="4" t="str">
        <x:v>未検出・50 m終端・検査対象外</x:v>
      </x:c>
      <x:c r="I52" s="4" t="str">
        <x:v>ビーム番号31; 相対角46.5°。実装レイ終点はθ+2πk/240。右手XYでは角度増加は左回り。旧コメントclockwiseと不一致。dは車両中心XYから対象表面までで、車体前端からの車間距離ではない。</x:v>
      </x:c>
      <x:c r="J52" s="4" t="str">
        <x:v>S01;S07;S08;S09;S10;S13;S17</x:v>
      </x:c>
      <x:c r="K52" s="4" t="str">
        <x:v>https://raw.githubusercontent.com/metadriverse/metadrive/85e5dadc6c7436d324348f6e3d8f8e680c06b4db/metadrive/obs/state_obs.py</x:v>
      </x:c>
    </x:row>
    <x:row r="53" ht="92" customHeight="1">
      <x:c r="A53" s="14" t="n">
        <x:v>51</x:v>
      </x:c>
      <x:c r="B53" s="4" t="str">
        <x:v>LiDARビーム032：車体前方から実装角度+48°（左）</x:v>
      </x:c>
      <x:c r="C53" s="4" t="str">
        <x:v>m</x:v>
      </x:c>
      <x:c r="D53" s="4" t="str">
        <x:v>検出時:d/50（レイHitFraction）; 未検出・検査対象外:1</x:v>
      </x:c>
      <x:c r="E53" s="4" t="str">
        <x:v>[0,1]（gaussian_noise=0, dropout_prob=0）</x:v>
      </x:c>
      <x:c r="F53" s="4" t="str">
        <x:v>レイ始点から0 mの交点相当</x:v>
      </x:c>
      <x:c r="G53" s="4" t="str">
        <x:v>検出交点まで25 m</x:v>
      </x:c>
      <x:c r="H53" s="4" t="str">
        <x:v>未検出・50 m終端・検査対象外</x:v>
      </x:c>
      <x:c r="I53" s="4" t="str">
        <x:v>ビーム番号32; 相対角48°。実装レイ終点はθ+2πk/240。右手XYでは角度増加は左回り。旧コメントclockwiseと不一致。dは車両中心XYから対象表面までで、車体前端からの車間距離ではない。</x:v>
      </x:c>
      <x:c r="J53" s="4" t="str">
        <x:v>S01;S07;S08;S09;S10;S13;S17</x:v>
      </x:c>
      <x:c r="K53" s="4" t="str">
        <x:v>https://raw.githubusercontent.com/metadriverse/metadrive/85e5dadc6c7436d324348f6e3d8f8e680c06b4db/metadrive/obs/state_obs.py</x:v>
      </x:c>
    </x:row>
    <x:row r="54" ht="92" customHeight="1">
      <x:c r="A54" s="14" t="n">
        <x:v>52</x:v>
      </x:c>
      <x:c r="B54" s="4" t="str">
        <x:v>LiDARビーム033：車体前方から実装角度+49.5°（左）</x:v>
      </x:c>
      <x:c r="C54" s="4" t="str">
        <x:v>m</x:v>
      </x:c>
      <x:c r="D54" s="4" t="str">
        <x:v>検出時:d/50（レイHitFraction）; 未検出・検査対象外:1</x:v>
      </x:c>
      <x:c r="E54" s="4" t="str">
        <x:v>[0,1]（gaussian_noise=0, dropout_prob=0）</x:v>
      </x:c>
      <x:c r="F54" s="4" t="str">
        <x:v>レイ始点から0 mの交点相当</x:v>
      </x:c>
      <x:c r="G54" s="4" t="str">
        <x:v>検出交点まで25 m</x:v>
      </x:c>
      <x:c r="H54" s="4" t="str">
        <x:v>未検出・50 m終端・検査対象外</x:v>
      </x:c>
      <x:c r="I54" s="4" t="str">
        <x:v>ビーム番号33; 相対角49.5°。実装レイ終点はθ+2πk/240。右手XYでは角度増加は左回り。旧コメントclockwiseと不一致。dは車両中心XYから対象表面までで、車体前端からの車間距離ではない。</x:v>
      </x:c>
      <x:c r="J54" s="4" t="str">
        <x:v>S01;S07;S08;S09;S10;S13;S17</x:v>
      </x:c>
      <x:c r="K54" s="4" t="str">
        <x:v>https://raw.githubusercontent.com/metadriverse/metadrive/85e5dadc6c7436d324348f6e3d8f8e680c06b4db/metadrive/obs/state_obs.py</x:v>
      </x:c>
    </x:row>
    <x:row r="55" ht="92" customHeight="1">
      <x:c r="A55" s="14" t="n">
        <x:v>53</x:v>
      </x:c>
      <x:c r="B55" s="4" t="str">
        <x:v>LiDARビーム034：車体前方から実装角度+51°（左）</x:v>
      </x:c>
      <x:c r="C55" s="4" t="str">
        <x:v>m</x:v>
      </x:c>
      <x:c r="D55" s="4" t="str">
        <x:v>検出時:d/50（レイHitFraction）; 未検出・検査対象外:1</x:v>
      </x:c>
      <x:c r="E55" s="4" t="str">
        <x:v>[0,1]（gaussian_noise=0, dropout_prob=0）</x:v>
      </x:c>
      <x:c r="F55" s="4" t="str">
        <x:v>レイ始点から0 mの交点相当</x:v>
      </x:c>
      <x:c r="G55" s="4" t="str">
        <x:v>検出交点まで25 m</x:v>
      </x:c>
      <x:c r="H55" s="4" t="str">
        <x:v>未検出・50 m終端・検査対象外</x:v>
      </x:c>
      <x:c r="I55" s="4" t="str">
        <x:v>ビーム番号34; 相対角51°。実装レイ終点はθ+2πk/240。右手XYでは角度増加は左回り。旧コメントclockwiseと不一致。dは車両中心XYから対象表面までで、車体前端からの車間距離ではない。</x:v>
      </x:c>
      <x:c r="J55" s="4" t="str">
        <x:v>S01;S07;S08;S09;S10;S13;S17</x:v>
      </x:c>
      <x:c r="K55" s="4" t="str">
        <x:v>https://raw.githubusercontent.com/metadriverse/metadrive/85e5dadc6c7436d324348f6e3d8f8e680c06b4db/metadrive/obs/state_obs.py</x:v>
      </x:c>
    </x:row>
    <x:row r="56" ht="92" customHeight="1">
      <x:c r="A56" s="14" t="n">
        <x:v>54</x:v>
      </x:c>
      <x:c r="B56" s="4" t="str">
        <x:v>LiDARビーム035：車体前方から実装角度+52.5°（左）</x:v>
      </x:c>
      <x:c r="C56" s="4" t="str">
        <x:v>m</x:v>
      </x:c>
      <x:c r="D56" s="4" t="str">
        <x:v>検出時:d/50（レイHitFraction）; 未検出・検査対象外:1</x:v>
      </x:c>
      <x:c r="E56" s="4" t="str">
        <x:v>[0,1]（gaussian_noise=0, dropout_prob=0）</x:v>
      </x:c>
      <x:c r="F56" s="4" t="str">
        <x:v>レイ始点から0 mの交点相当</x:v>
      </x:c>
      <x:c r="G56" s="4" t="str">
        <x:v>検出交点まで25 m</x:v>
      </x:c>
      <x:c r="H56" s="4" t="str">
        <x:v>未検出・50 m終端・検査対象外</x:v>
      </x:c>
      <x:c r="I56" s="4" t="str">
        <x:v>ビーム番号35; 相対角52.5°。実装レイ終点はθ+2πk/240。右手XYでは角度増加は左回り。旧コメントclockwiseと不一致。dは車両中心XYから対象表面までで、車体前端からの車間距離ではない。</x:v>
      </x:c>
      <x:c r="J56" s="4" t="str">
        <x:v>S01;S07;S08;S09;S10;S13;S17</x:v>
      </x:c>
      <x:c r="K56" s="4" t="str">
        <x:v>https://raw.githubusercontent.com/metadriverse/metadrive/85e5dadc6c7436d324348f6e3d8f8e680c06b4db/metadrive/obs/state_obs.py</x:v>
      </x:c>
    </x:row>
    <x:row r="57" ht="92" customHeight="1">
      <x:c r="A57" s="14" t="n">
        <x:v>55</x:v>
      </x:c>
      <x:c r="B57" s="4" t="str">
        <x:v>LiDARビーム036：車体前方から実装角度+54°（左）</x:v>
      </x:c>
      <x:c r="C57" s="4" t="str">
        <x:v>m</x:v>
      </x:c>
      <x:c r="D57" s="4" t="str">
        <x:v>検出時:d/50（レイHitFraction）; 未検出・検査対象外:1</x:v>
      </x:c>
      <x:c r="E57" s="4" t="str">
        <x:v>[0,1]（gaussian_noise=0, dropout_prob=0）</x:v>
      </x:c>
      <x:c r="F57" s="4" t="str">
        <x:v>レイ始点から0 mの交点相当</x:v>
      </x:c>
      <x:c r="G57" s="4" t="str">
        <x:v>検出交点まで25 m</x:v>
      </x:c>
      <x:c r="H57" s="4" t="str">
        <x:v>未検出・50 m終端・検査対象外</x:v>
      </x:c>
      <x:c r="I57" s="4" t="str">
        <x:v>ビーム番号36; 相対角54°。実装レイ終点はθ+2πk/240。右手XYでは角度増加は左回り。旧コメントclockwiseと不一致。dは車両中心XYから対象表面までで、車体前端からの車間距離ではない。</x:v>
      </x:c>
      <x:c r="J57" s="4" t="str">
        <x:v>S01;S07;S08;S09;S10;S13;S17</x:v>
      </x:c>
      <x:c r="K57" s="4" t="str">
        <x:v>https://raw.githubusercontent.com/metadriverse/metadrive/85e5dadc6c7436d324348f6e3d8f8e680c06b4db/metadrive/obs/state_obs.py</x:v>
      </x:c>
    </x:row>
    <x:row r="58" ht="92" customHeight="1">
      <x:c r="A58" s="14" t="n">
        <x:v>56</x:v>
      </x:c>
      <x:c r="B58" s="4" t="str">
        <x:v>LiDARビーム037：車体前方から実装角度+55.5°（左）</x:v>
      </x:c>
      <x:c r="C58" s="4" t="str">
        <x:v>m</x:v>
      </x:c>
      <x:c r="D58" s="4" t="str">
        <x:v>検出時:d/50（レイHitFraction）; 未検出・検査対象外:1</x:v>
      </x:c>
      <x:c r="E58" s="4" t="str">
        <x:v>[0,1]（gaussian_noise=0, dropout_prob=0）</x:v>
      </x:c>
      <x:c r="F58" s="4" t="str">
        <x:v>レイ始点から0 mの交点相当</x:v>
      </x:c>
      <x:c r="G58" s="4" t="str">
        <x:v>検出交点まで25 m</x:v>
      </x:c>
      <x:c r="H58" s="4" t="str">
        <x:v>未検出・50 m終端・検査対象外</x:v>
      </x:c>
      <x:c r="I58" s="4" t="str">
        <x:v>ビーム番号37; 相対角55.5°。実装レイ終点はθ+2πk/240。右手XYでは角度増加は左回り。旧コメントclockwiseと不一致。dは車両中心XYから対象表面までで、車体前端からの車間距離ではない。</x:v>
      </x:c>
      <x:c r="J58" s="4" t="str">
        <x:v>S01;S07;S08;S09;S10;S13;S17</x:v>
      </x:c>
      <x:c r="K58" s="4" t="str">
        <x:v>https://raw.githubusercontent.com/metadriverse/metadrive/85e5dadc6c7436d324348f6e3d8f8e680c06b4db/metadrive/obs/state_obs.py</x:v>
      </x:c>
    </x:row>
    <x:row r="59" ht="92" customHeight="1">
      <x:c r="A59" s="14" t="n">
        <x:v>57</x:v>
      </x:c>
      <x:c r="B59" s="4" t="str">
        <x:v>LiDARビーム038：車体前方から実装角度+57°（左）</x:v>
      </x:c>
      <x:c r="C59" s="4" t="str">
        <x:v>m</x:v>
      </x:c>
      <x:c r="D59" s="4" t="str">
        <x:v>検出時:d/50（レイHitFraction）; 未検出・検査対象外:1</x:v>
      </x:c>
      <x:c r="E59" s="4" t="str">
        <x:v>[0,1]（gaussian_noise=0, dropout_prob=0）</x:v>
      </x:c>
      <x:c r="F59" s="4" t="str">
        <x:v>レイ始点から0 mの交点相当</x:v>
      </x:c>
      <x:c r="G59" s="4" t="str">
        <x:v>検出交点まで25 m</x:v>
      </x:c>
      <x:c r="H59" s="4" t="str">
        <x:v>未検出・50 m終端・検査対象外</x:v>
      </x:c>
      <x:c r="I59" s="4" t="str">
        <x:v>ビーム番号38; 相対角57°。実装レイ終点はθ+2πk/240。右手XYでは角度増加は左回り。旧コメントclockwiseと不一致。dは車両中心XYから対象表面までで、車体前端からの車間距離ではない。</x:v>
      </x:c>
      <x:c r="J59" s="4" t="str">
        <x:v>S01;S07;S08;S09;S10;S13;S17</x:v>
      </x:c>
      <x:c r="K59" s="4" t="str">
        <x:v>https://raw.githubusercontent.com/metadriverse/metadrive/85e5dadc6c7436d324348f6e3d8f8e680c06b4db/metadrive/obs/state_obs.py</x:v>
      </x:c>
    </x:row>
    <x:row r="60" ht="92" customHeight="1">
      <x:c r="A60" s="14" t="n">
        <x:v>58</x:v>
      </x:c>
      <x:c r="B60" s="4" t="str">
        <x:v>LiDARビーム039：車体前方から実装角度+58.5°（左）</x:v>
      </x:c>
      <x:c r="C60" s="4" t="str">
        <x:v>m</x:v>
      </x:c>
      <x:c r="D60" s="4" t="str">
        <x:v>検出時:d/50（レイHitFraction）; 未検出・検査対象外:1</x:v>
      </x:c>
      <x:c r="E60" s="4" t="str">
        <x:v>[0,1]（gaussian_noise=0, dropout_prob=0）</x:v>
      </x:c>
      <x:c r="F60" s="4" t="str">
        <x:v>レイ始点から0 mの交点相当</x:v>
      </x:c>
      <x:c r="G60" s="4" t="str">
        <x:v>検出交点まで25 m</x:v>
      </x:c>
      <x:c r="H60" s="4" t="str">
        <x:v>未検出・50 m終端・検査対象外</x:v>
      </x:c>
      <x:c r="I60" s="4" t="str">
        <x:v>ビーム番号39; 相対角58.5°。実装レイ終点はθ+2πk/240。右手XYでは角度増加は左回り。旧コメントclockwiseと不一致。dは車両中心XYから対象表面までで、車体前端からの車間距離ではない。</x:v>
      </x:c>
      <x:c r="J60" s="4" t="str">
        <x:v>S01;S07;S08;S09;S10;S13;S17</x:v>
      </x:c>
      <x:c r="K60" s="4" t="str">
        <x:v>https://raw.githubusercontent.com/metadriverse/metadrive/85e5dadc6c7436d324348f6e3d8f8e680c06b4db/metadrive/obs/state_obs.py</x:v>
      </x:c>
    </x:row>
    <x:row r="61" ht="92" customHeight="1">
      <x:c r="A61" s="14" t="n">
        <x:v>59</x:v>
      </x:c>
      <x:c r="B61" s="4" t="str">
        <x:v>LiDARビーム040：車体前方から実装角度+60°（左）</x:v>
      </x:c>
      <x:c r="C61" s="4" t="str">
        <x:v>m</x:v>
      </x:c>
      <x:c r="D61" s="4" t="str">
        <x:v>検出時:d/50（レイHitFraction）; 未検出・検査対象外:1</x:v>
      </x:c>
      <x:c r="E61" s="4" t="str">
        <x:v>[0,1]（gaussian_noise=0, dropout_prob=0）</x:v>
      </x:c>
      <x:c r="F61" s="4" t="str">
        <x:v>レイ始点から0 mの交点相当</x:v>
      </x:c>
      <x:c r="G61" s="4" t="str">
        <x:v>検出交点まで25 m</x:v>
      </x:c>
      <x:c r="H61" s="4" t="str">
        <x:v>未検出・50 m終端・検査対象外</x:v>
      </x:c>
      <x:c r="I61" s="4" t="str">
        <x:v>ビーム番号40; 相対角60°。実装レイ終点はθ+2πk/240。右手XYでは角度増加は左回り。旧コメントclockwiseと不一致。dは車両中心XYから対象表面までで、車体前端からの車間距離ではない。</x:v>
      </x:c>
      <x:c r="J61" s="4" t="str">
        <x:v>S01;S07;S08;S09;S10;S13;S17</x:v>
      </x:c>
      <x:c r="K61" s="4" t="str">
        <x:v>https://raw.githubusercontent.com/metadriverse/metadrive/85e5dadc6c7436d324348f6e3d8f8e680c06b4db/metadrive/obs/state_obs.py</x:v>
      </x:c>
    </x:row>
    <x:row r="62" ht="92" customHeight="1">
      <x:c r="A62" s="14" t="n">
        <x:v>60</x:v>
      </x:c>
      <x:c r="B62" s="4" t="str">
        <x:v>LiDARビーム041：車体前方から実装角度+61.5°（左）</x:v>
      </x:c>
      <x:c r="C62" s="4" t="str">
        <x:v>m</x:v>
      </x:c>
      <x:c r="D62" s="4" t="str">
        <x:v>検出時:d/50（レイHitFraction）; 未検出・検査対象外:1</x:v>
      </x:c>
      <x:c r="E62" s="4" t="str">
        <x:v>[0,1]（gaussian_noise=0, dropout_prob=0）</x:v>
      </x:c>
      <x:c r="F62" s="4" t="str">
        <x:v>レイ始点から0 mの交点相当</x:v>
      </x:c>
      <x:c r="G62" s="4" t="str">
        <x:v>検出交点まで25 m</x:v>
      </x:c>
      <x:c r="H62" s="4" t="str">
        <x:v>未検出・50 m終端・検査対象外</x:v>
      </x:c>
      <x:c r="I62" s="4" t="str">
        <x:v>ビーム番号41; 相対角61.5°。実装レイ終点はθ+2πk/240。右手XYでは角度増加は左回り。旧コメントclockwiseと不一致。dは車両中心XYから対象表面までで、車体前端からの車間距離ではない。</x:v>
      </x:c>
      <x:c r="J62" s="4" t="str">
        <x:v>S01;S07;S08;S09;S10;S13;S17</x:v>
      </x:c>
      <x:c r="K62" s="4" t="str">
        <x:v>https://raw.githubusercontent.com/metadriverse/metadrive/85e5dadc6c7436d324348f6e3d8f8e680c06b4db/metadrive/obs/state_obs.py</x:v>
      </x:c>
    </x:row>
    <x:row r="63" ht="92" customHeight="1">
      <x:c r="A63" s="14" t="n">
        <x:v>61</x:v>
      </x:c>
      <x:c r="B63" s="4" t="str">
        <x:v>LiDARビーム042：車体前方から実装角度+63°（左）</x:v>
      </x:c>
      <x:c r="C63" s="4" t="str">
        <x:v>m</x:v>
      </x:c>
      <x:c r="D63" s="4" t="str">
        <x:v>検出時:d/50（レイHitFraction）; 未検出・検査対象外:1</x:v>
      </x:c>
      <x:c r="E63" s="4" t="str">
        <x:v>[0,1]（gaussian_noise=0, dropout_prob=0）</x:v>
      </x:c>
      <x:c r="F63" s="4" t="str">
        <x:v>レイ始点から0 mの交点相当</x:v>
      </x:c>
      <x:c r="G63" s="4" t="str">
        <x:v>検出交点まで25 m</x:v>
      </x:c>
      <x:c r="H63" s="4" t="str">
        <x:v>未検出・50 m終端・検査対象外</x:v>
      </x:c>
      <x:c r="I63" s="4" t="str">
        <x:v>ビーム番号42; 相対角63°。実装レイ終点はθ+2πk/240。右手XYでは角度増加は左回り。旧コメントclockwiseと不一致。dは車両中心XYから対象表面までで、車体前端からの車間距離ではない。</x:v>
      </x:c>
      <x:c r="J63" s="4" t="str">
        <x:v>S01;S07;S08;S09;S10;S13;S17</x:v>
      </x:c>
      <x:c r="K63" s="4" t="str">
        <x:v>https://raw.githubusercontent.com/metadriverse/metadrive/85e5dadc6c7436d324348f6e3d8f8e680c06b4db/metadrive/obs/state_obs.py</x:v>
      </x:c>
    </x:row>
    <x:row r="64" ht="92" customHeight="1">
      <x:c r="A64" s="14" t="n">
        <x:v>62</x:v>
      </x:c>
      <x:c r="B64" s="4" t="str">
        <x:v>LiDARビーム043：車体前方から実装角度+64.5°（左）</x:v>
      </x:c>
      <x:c r="C64" s="4" t="str">
        <x:v>m</x:v>
      </x:c>
      <x:c r="D64" s="4" t="str">
        <x:v>検出時:d/50（レイHitFraction）; 未検出・検査対象外:1</x:v>
      </x:c>
      <x:c r="E64" s="4" t="str">
        <x:v>[0,1]（gaussian_noise=0, dropout_prob=0）</x:v>
      </x:c>
      <x:c r="F64" s="4" t="str">
        <x:v>レイ始点から0 mの交点相当</x:v>
      </x:c>
      <x:c r="G64" s="4" t="str">
        <x:v>検出交点まで25 m</x:v>
      </x:c>
      <x:c r="H64" s="4" t="str">
        <x:v>未検出・50 m終端・検査対象外</x:v>
      </x:c>
      <x:c r="I64" s="4" t="str">
        <x:v>ビーム番号43; 相対角64.5°。実装レイ終点はθ+2πk/240。右手XYでは角度増加は左回り。旧コメントclockwiseと不一致。dは車両中心XYから対象表面までで、車体前端からの車間距離ではない。</x:v>
      </x:c>
      <x:c r="J64" s="4" t="str">
        <x:v>S01;S07;S08;S09;S10;S13;S17</x:v>
      </x:c>
      <x:c r="K64" s="4" t="str">
        <x:v>https://raw.githubusercontent.com/metadriverse/metadrive/85e5dadc6c7436d324348f6e3d8f8e680c06b4db/metadrive/obs/state_obs.py</x:v>
      </x:c>
    </x:row>
    <x:row r="65" ht="92" customHeight="1">
      <x:c r="A65" s="14" t="n">
        <x:v>63</x:v>
      </x:c>
      <x:c r="B65" s="4" t="str">
        <x:v>LiDARビーム044：車体前方から実装角度+66°（左）</x:v>
      </x:c>
      <x:c r="C65" s="4" t="str">
        <x:v>m</x:v>
      </x:c>
      <x:c r="D65" s="4" t="str">
        <x:v>検出時:d/50（レイHitFraction）; 未検出・検査対象外:1</x:v>
      </x:c>
      <x:c r="E65" s="4" t="str">
        <x:v>[0,1]（gaussian_noise=0, dropout_prob=0）</x:v>
      </x:c>
      <x:c r="F65" s="4" t="str">
        <x:v>レイ始点から0 mの交点相当</x:v>
      </x:c>
      <x:c r="G65" s="4" t="str">
        <x:v>検出交点まで25 m</x:v>
      </x:c>
      <x:c r="H65" s="4" t="str">
        <x:v>未検出・50 m終端・検査対象外</x:v>
      </x:c>
      <x:c r="I65" s="4" t="str">
        <x:v>ビーム番号44; 相対角66°。実装レイ終点はθ+2πk/240。右手XYでは角度増加は左回り。旧コメントclockwiseと不一致。dは車両中心XYから対象表面までで、車体前端からの車間距離ではない。</x:v>
      </x:c>
      <x:c r="J65" s="4" t="str">
        <x:v>S01;S07;S08;S09;S10;S13;S17</x:v>
      </x:c>
      <x:c r="K65" s="4" t="str">
        <x:v>https://raw.githubusercontent.com/metadriverse/metadrive/85e5dadc6c7436d324348f6e3d8f8e680c06b4db/metadrive/obs/state_obs.py</x:v>
      </x:c>
    </x:row>
    <x:row r="66" ht="92" customHeight="1">
      <x:c r="A66" s="14" t="n">
        <x:v>64</x:v>
      </x:c>
      <x:c r="B66" s="4" t="str">
        <x:v>LiDARビーム045：車体前方から実装角度+67.5°（左）</x:v>
      </x:c>
      <x:c r="C66" s="4" t="str">
        <x:v>m</x:v>
      </x:c>
      <x:c r="D66" s="4" t="str">
        <x:v>検出時:d/50（レイHitFraction）; 未検出・検査対象外:1</x:v>
      </x:c>
      <x:c r="E66" s="4" t="str">
        <x:v>[0,1]（gaussian_noise=0, dropout_prob=0）</x:v>
      </x:c>
      <x:c r="F66" s="4" t="str">
        <x:v>レイ始点から0 mの交点相当</x:v>
      </x:c>
      <x:c r="G66" s="4" t="str">
        <x:v>検出交点まで25 m</x:v>
      </x:c>
      <x:c r="H66" s="4" t="str">
        <x:v>未検出・50 m終端・検査対象外</x:v>
      </x:c>
      <x:c r="I66" s="4" t="str">
        <x:v>ビーム番号45; 相対角67.5°。実装レイ終点はθ+2πk/240。右手XYでは角度増加は左回り。旧コメントclockwiseと不一致。dは車両中心XYから対象表面までで、車体前端からの車間距離ではない。</x:v>
      </x:c>
      <x:c r="J66" s="4" t="str">
        <x:v>S01;S07;S08;S09;S10;S13;S17</x:v>
      </x:c>
      <x:c r="K66" s="4" t="str">
        <x:v>https://raw.githubusercontent.com/metadriverse/metadrive/85e5dadc6c7436d324348f6e3d8f8e680c06b4db/metadrive/obs/state_obs.py</x:v>
      </x:c>
    </x:row>
    <x:row r="67" ht="92" customHeight="1">
      <x:c r="A67" s="14" t="n">
        <x:v>65</x:v>
      </x:c>
      <x:c r="B67" s="4" t="str">
        <x:v>LiDARビーム046：車体前方から実装角度+69°（左）</x:v>
      </x:c>
      <x:c r="C67" s="4" t="str">
        <x:v>m</x:v>
      </x:c>
      <x:c r="D67" s="4" t="str">
        <x:v>検出時:d/50（レイHitFraction）; 未検出・検査対象外:1</x:v>
      </x:c>
      <x:c r="E67" s="4" t="str">
        <x:v>[0,1]（gaussian_noise=0, dropout_prob=0）</x:v>
      </x:c>
      <x:c r="F67" s="4" t="str">
        <x:v>レイ始点から0 mの交点相当</x:v>
      </x:c>
      <x:c r="G67" s="4" t="str">
        <x:v>検出交点まで25 m</x:v>
      </x:c>
      <x:c r="H67" s="4" t="str">
        <x:v>未検出・50 m終端・検査対象外</x:v>
      </x:c>
      <x:c r="I67" s="4" t="str">
        <x:v>ビーム番号46; 相対角69°。実装レイ終点はθ+2πk/240。右手XYでは角度増加は左回り。旧コメントclockwiseと不一致。dは車両中心XYから対象表面までで、車体前端からの車間距離ではない。</x:v>
      </x:c>
      <x:c r="J67" s="4" t="str">
        <x:v>S01;S07;S08;S09;S10;S13;S17</x:v>
      </x:c>
      <x:c r="K67" s="4" t="str">
        <x:v>https://raw.githubusercontent.com/metadriverse/metadrive/85e5dadc6c7436d324348f6e3d8f8e680c06b4db/metadrive/obs/state_obs.py</x:v>
      </x:c>
    </x:row>
    <x:row r="68" ht="92" customHeight="1">
      <x:c r="A68" s="14" t="n">
        <x:v>66</x:v>
      </x:c>
      <x:c r="B68" s="4" t="str">
        <x:v>LiDARビーム047：車体前方から実装角度+70.5°（左）</x:v>
      </x:c>
      <x:c r="C68" s="4" t="str">
        <x:v>m</x:v>
      </x:c>
      <x:c r="D68" s="4" t="str">
        <x:v>検出時:d/50（レイHitFraction）; 未検出・検査対象外:1</x:v>
      </x:c>
      <x:c r="E68" s="4" t="str">
        <x:v>[0,1]（gaussian_noise=0, dropout_prob=0）</x:v>
      </x:c>
      <x:c r="F68" s="4" t="str">
        <x:v>レイ始点から0 mの交点相当</x:v>
      </x:c>
      <x:c r="G68" s="4" t="str">
        <x:v>検出交点まで25 m</x:v>
      </x:c>
      <x:c r="H68" s="4" t="str">
        <x:v>未検出・50 m終端・検査対象外</x:v>
      </x:c>
      <x:c r="I68" s="4" t="str">
        <x:v>ビーム番号47; 相対角70.5°。実装レイ終点はθ+2πk/240。右手XYでは角度増加は左回り。旧コメントclockwiseと不一致。dは車両中心XYから対象表面までで、車体前端からの車間距離ではない。</x:v>
      </x:c>
      <x:c r="J68" s="4" t="str">
        <x:v>S01;S07;S08;S09;S10;S13;S17</x:v>
      </x:c>
      <x:c r="K68" s="4" t="str">
        <x:v>https://raw.githubusercontent.com/metadriverse/metadrive/85e5dadc6c7436d324348f6e3d8f8e680c06b4db/metadrive/obs/state_obs.py</x:v>
      </x:c>
    </x:row>
    <x:row r="69" ht="92" customHeight="1">
      <x:c r="A69" s="14" t="n">
        <x:v>67</x:v>
      </x:c>
      <x:c r="B69" s="4" t="str">
        <x:v>LiDARビーム048：車体前方から実装角度+72°（左）</x:v>
      </x:c>
      <x:c r="C69" s="4" t="str">
        <x:v>m</x:v>
      </x:c>
      <x:c r="D69" s="4" t="str">
        <x:v>検出時:d/50（レイHitFraction）; 未検出・検査対象外:1</x:v>
      </x:c>
      <x:c r="E69" s="4" t="str">
        <x:v>[0,1]（gaussian_noise=0, dropout_prob=0）</x:v>
      </x:c>
      <x:c r="F69" s="4" t="str">
        <x:v>レイ始点から0 mの交点相当</x:v>
      </x:c>
      <x:c r="G69" s="4" t="str">
        <x:v>検出交点まで25 m</x:v>
      </x:c>
      <x:c r="H69" s="4" t="str">
        <x:v>未検出・50 m終端・検査対象外</x:v>
      </x:c>
      <x:c r="I69" s="4" t="str">
        <x:v>ビーム番号48; 相対角72°。実装レイ終点はθ+2πk/240。右手XYでは角度増加は左回り。旧コメントclockwiseと不一致。dは車両中心XYから対象表面までで、車体前端からの車間距離ではない。</x:v>
      </x:c>
      <x:c r="J69" s="4" t="str">
        <x:v>S01;S07;S08;S09;S10;S13;S17</x:v>
      </x:c>
      <x:c r="K69" s="4" t="str">
        <x:v>https://raw.githubusercontent.com/metadriverse/metadrive/85e5dadc6c7436d324348f6e3d8f8e680c06b4db/metadrive/obs/state_obs.py</x:v>
      </x:c>
    </x:row>
    <x:row r="70" ht="92" customHeight="1">
      <x:c r="A70" s="14" t="n">
        <x:v>68</x:v>
      </x:c>
      <x:c r="B70" s="4" t="str">
        <x:v>LiDARビーム049：車体前方から実装角度+73.5°（左）</x:v>
      </x:c>
      <x:c r="C70" s="4" t="str">
        <x:v>m</x:v>
      </x:c>
      <x:c r="D70" s="4" t="str">
        <x:v>検出時:d/50（レイHitFraction）; 未検出・検査対象外:1</x:v>
      </x:c>
      <x:c r="E70" s="4" t="str">
        <x:v>[0,1]（gaussian_noise=0, dropout_prob=0）</x:v>
      </x:c>
      <x:c r="F70" s="4" t="str">
        <x:v>レイ始点から0 mの交点相当</x:v>
      </x:c>
      <x:c r="G70" s="4" t="str">
        <x:v>検出交点まで25 m</x:v>
      </x:c>
      <x:c r="H70" s="4" t="str">
        <x:v>未検出・50 m終端・検査対象外</x:v>
      </x:c>
      <x:c r="I70" s="4" t="str">
        <x:v>ビーム番号49; 相対角73.5°。実装レイ終点はθ+2πk/240。右手XYでは角度増加は左回り。旧コメントclockwiseと不一致。dは車両中心XYから対象表面までで、車体前端からの車間距離ではない。</x:v>
      </x:c>
      <x:c r="J70" s="4" t="str">
        <x:v>S01;S07;S08;S09;S10;S13;S17</x:v>
      </x:c>
      <x:c r="K70" s="4" t="str">
        <x:v>https://raw.githubusercontent.com/metadriverse/metadrive/85e5dadc6c7436d324348f6e3d8f8e680c06b4db/metadrive/obs/state_obs.py</x:v>
      </x:c>
    </x:row>
    <x:row r="71" ht="92" customHeight="1">
      <x:c r="A71" s="14" t="n">
        <x:v>69</x:v>
      </x:c>
      <x:c r="B71" s="4" t="str">
        <x:v>LiDARビーム050：車体前方から実装角度+75°（左）</x:v>
      </x:c>
      <x:c r="C71" s="4" t="str">
        <x:v>m</x:v>
      </x:c>
      <x:c r="D71" s="4" t="str">
        <x:v>検出時:d/50（レイHitFraction）; 未検出・検査対象外:1</x:v>
      </x:c>
      <x:c r="E71" s="4" t="str">
        <x:v>[0,1]（gaussian_noise=0, dropout_prob=0）</x:v>
      </x:c>
      <x:c r="F71" s="4" t="str">
        <x:v>レイ始点から0 mの交点相当</x:v>
      </x:c>
      <x:c r="G71" s="4" t="str">
        <x:v>検出交点まで25 m</x:v>
      </x:c>
      <x:c r="H71" s="4" t="str">
        <x:v>未検出・50 m終端・検査対象外</x:v>
      </x:c>
      <x:c r="I71" s="4" t="str">
        <x:v>ビーム番号50; 相対角75°。実装レイ終点はθ+2πk/240。右手XYでは角度増加は左回り。旧コメントclockwiseと不一致。dは車両中心XYから対象表面までで、車体前端からの車間距離ではない。</x:v>
      </x:c>
      <x:c r="J71" s="4" t="str">
        <x:v>S01;S07;S08;S09;S10;S13;S17</x:v>
      </x:c>
      <x:c r="K71" s="4" t="str">
        <x:v>https://raw.githubusercontent.com/metadriverse/metadrive/85e5dadc6c7436d324348f6e3d8f8e680c06b4db/metadrive/obs/state_obs.py</x:v>
      </x:c>
    </x:row>
    <x:row r="72" ht="92" customHeight="1">
      <x:c r="A72" s="14" t="n">
        <x:v>70</x:v>
      </x:c>
      <x:c r="B72" s="4" t="str">
        <x:v>LiDARビーム051：車体前方から実装角度+76.5°（左）</x:v>
      </x:c>
      <x:c r="C72" s="4" t="str">
        <x:v>m</x:v>
      </x:c>
      <x:c r="D72" s="4" t="str">
        <x:v>検出時:d/50（レイHitFraction）; 未検出・検査対象外:1</x:v>
      </x:c>
      <x:c r="E72" s="4" t="str">
        <x:v>[0,1]（gaussian_noise=0, dropout_prob=0）</x:v>
      </x:c>
      <x:c r="F72" s="4" t="str">
        <x:v>レイ始点から0 mの交点相当</x:v>
      </x:c>
      <x:c r="G72" s="4" t="str">
        <x:v>検出交点まで25 m</x:v>
      </x:c>
      <x:c r="H72" s="4" t="str">
        <x:v>未検出・50 m終端・検査対象外</x:v>
      </x:c>
      <x:c r="I72" s="4" t="str">
        <x:v>ビーム番号51; 相対角76.5°。実装レイ終点はθ+2πk/240。右手XYでは角度増加は左回り。旧コメントclockwiseと不一致。dは車両中心XYから対象表面までで、車体前端からの車間距離ではない。</x:v>
      </x:c>
      <x:c r="J72" s="4" t="str">
        <x:v>S01;S07;S08;S09;S10;S13;S17</x:v>
      </x:c>
      <x:c r="K72" s="4" t="str">
        <x:v>https://raw.githubusercontent.com/metadriverse/metadrive/85e5dadc6c7436d324348f6e3d8f8e680c06b4db/metadrive/obs/state_obs.py</x:v>
      </x:c>
    </x:row>
    <x:row r="73" ht="92" customHeight="1">
      <x:c r="A73" s="14" t="n">
        <x:v>71</x:v>
      </x:c>
      <x:c r="B73" s="4" t="str">
        <x:v>LiDARビーム052：車体前方から実装角度+78°（左）</x:v>
      </x:c>
      <x:c r="C73" s="4" t="str">
        <x:v>m</x:v>
      </x:c>
      <x:c r="D73" s="4" t="str">
        <x:v>検出時:d/50（レイHitFraction）; 未検出・検査対象外:1</x:v>
      </x:c>
      <x:c r="E73" s="4" t="str">
        <x:v>[0,1]（gaussian_noise=0, dropout_prob=0）</x:v>
      </x:c>
      <x:c r="F73" s="4" t="str">
        <x:v>レイ始点から0 mの交点相当</x:v>
      </x:c>
      <x:c r="G73" s="4" t="str">
        <x:v>検出交点まで25 m</x:v>
      </x:c>
      <x:c r="H73" s="4" t="str">
        <x:v>未検出・50 m終端・検査対象外</x:v>
      </x:c>
      <x:c r="I73" s="4" t="str">
        <x:v>ビーム番号52; 相対角78°。実装レイ終点はθ+2πk/240。右手XYでは角度増加は左回り。旧コメントclockwiseと不一致。dは車両中心XYから対象表面までで、車体前端からの車間距離ではない。</x:v>
      </x:c>
      <x:c r="J73" s="4" t="str">
        <x:v>S01;S07;S08;S09;S10;S13;S17</x:v>
      </x:c>
      <x:c r="K73" s="4" t="str">
        <x:v>https://raw.githubusercontent.com/metadriverse/metadrive/85e5dadc6c7436d324348f6e3d8f8e680c06b4db/metadrive/obs/state_obs.py</x:v>
      </x:c>
    </x:row>
    <x:row r="74" ht="92" customHeight="1">
      <x:c r="A74" s="14" t="n">
        <x:v>72</x:v>
      </x:c>
      <x:c r="B74" s="4" t="str">
        <x:v>LiDARビーム053：車体前方から実装角度+79.5°（左）</x:v>
      </x:c>
      <x:c r="C74" s="4" t="str">
        <x:v>m</x:v>
      </x:c>
      <x:c r="D74" s="4" t="str">
        <x:v>検出時:d/50（レイHitFraction）; 未検出・検査対象外:1</x:v>
      </x:c>
      <x:c r="E74" s="4" t="str">
        <x:v>[0,1]（gaussian_noise=0, dropout_prob=0）</x:v>
      </x:c>
      <x:c r="F74" s="4" t="str">
        <x:v>レイ始点から0 mの交点相当</x:v>
      </x:c>
      <x:c r="G74" s="4" t="str">
        <x:v>検出交点まで25 m</x:v>
      </x:c>
      <x:c r="H74" s="4" t="str">
        <x:v>未検出・50 m終端・検査対象外</x:v>
      </x:c>
      <x:c r="I74" s="4" t="str">
        <x:v>ビーム番号53; 相対角79.5°。実装レイ終点はθ+2πk/240。右手XYでは角度増加は左回り。旧コメントclockwiseと不一致。dは車両中心XYから対象表面までで、車体前端からの車間距離ではない。</x:v>
      </x:c>
      <x:c r="J74" s="4" t="str">
        <x:v>S01;S07;S08;S09;S10;S13;S17</x:v>
      </x:c>
      <x:c r="K74" s="4" t="str">
        <x:v>https://raw.githubusercontent.com/metadriverse/metadrive/85e5dadc6c7436d324348f6e3d8f8e680c06b4db/metadrive/obs/state_obs.py</x:v>
      </x:c>
    </x:row>
    <x:row r="75" ht="92" customHeight="1">
      <x:c r="A75" s="14" t="n">
        <x:v>73</x:v>
      </x:c>
      <x:c r="B75" s="4" t="str">
        <x:v>LiDARビーム054：車体前方から実装角度+81°（左）</x:v>
      </x:c>
      <x:c r="C75" s="4" t="str">
        <x:v>m</x:v>
      </x:c>
      <x:c r="D75" s="4" t="str">
        <x:v>検出時:d/50（レイHitFraction）; 未検出・検査対象外:1</x:v>
      </x:c>
      <x:c r="E75" s="4" t="str">
        <x:v>[0,1]（gaussian_noise=0, dropout_prob=0）</x:v>
      </x:c>
      <x:c r="F75" s="4" t="str">
        <x:v>レイ始点から0 mの交点相当</x:v>
      </x:c>
      <x:c r="G75" s="4" t="str">
        <x:v>検出交点まで25 m</x:v>
      </x:c>
      <x:c r="H75" s="4" t="str">
        <x:v>未検出・50 m終端・検査対象外</x:v>
      </x:c>
      <x:c r="I75" s="4" t="str">
        <x:v>ビーム番号54; 相対角81°。実装レイ終点はθ+2πk/240。右手XYでは角度増加は左回り。旧コメントclockwiseと不一致。dは車両中心XYから対象表面までで、車体前端からの車間距離ではない。</x:v>
      </x:c>
      <x:c r="J75" s="4" t="str">
        <x:v>S01;S07;S08;S09;S10;S13;S17</x:v>
      </x:c>
      <x:c r="K75" s="4" t="str">
        <x:v>https://raw.githubusercontent.com/metadriverse/metadrive/85e5dadc6c7436d324348f6e3d8f8e680c06b4db/metadrive/obs/state_obs.py</x:v>
      </x:c>
    </x:row>
    <x:row r="76" ht="92" customHeight="1">
      <x:c r="A76" s="14" t="n">
        <x:v>74</x:v>
      </x:c>
      <x:c r="B76" s="4" t="str">
        <x:v>LiDARビーム055：車体前方から実装角度+82.5°（左）</x:v>
      </x:c>
      <x:c r="C76" s="4" t="str">
        <x:v>m</x:v>
      </x:c>
      <x:c r="D76" s="4" t="str">
        <x:v>検出時:d/50（レイHitFraction）; 未検出・検査対象外:1</x:v>
      </x:c>
      <x:c r="E76" s="4" t="str">
        <x:v>[0,1]（gaussian_noise=0, dropout_prob=0）</x:v>
      </x:c>
      <x:c r="F76" s="4" t="str">
        <x:v>レイ始点から0 mの交点相当</x:v>
      </x:c>
      <x:c r="G76" s="4" t="str">
        <x:v>検出交点まで25 m</x:v>
      </x:c>
      <x:c r="H76" s="4" t="str">
        <x:v>未検出・50 m終端・検査対象外</x:v>
      </x:c>
      <x:c r="I76" s="4" t="str">
        <x:v>ビーム番号55; 相対角82.5°。実装レイ終点はθ+2πk/240。右手XYでは角度増加は左回り。旧コメントclockwiseと不一致。dは車両中心XYから対象表面までで、車体前端からの車間距離ではない。</x:v>
      </x:c>
      <x:c r="J76" s="4" t="str">
        <x:v>S01;S07;S08;S09;S10;S13;S17</x:v>
      </x:c>
      <x:c r="K76" s="4" t="str">
        <x:v>https://raw.githubusercontent.com/metadriverse/metadrive/85e5dadc6c7436d324348f6e3d8f8e680c06b4db/metadrive/obs/state_obs.py</x:v>
      </x:c>
    </x:row>
    <x:row r="77" ht="92" customHeight="1">
      <x:c r="A77" s="14" t="n">
        <x:v>75</x:v>
      </x:c>
      <x:c r="B77" s="4" t="str">
        <x:v>LiDARビーム056：車体前方から実装角度+84°（左）</x:v>
      </x:c>
      <x:c r="C77" s="4" t="str">
        <x:v>m</x:v>
      </x:c>
      <x:c r="D77" s="4" t="str">
        <x:v>検出時:d/50（レイHitFraction）; 未検出・検査対象外:1</x:v>
      </x:c>
      <x:c r="E77" s="4" t="str">
        <x:v>[0,1]（gaussian_noise=0, dropout_prob=0）</x:v>
      </x:c>
      <x:c r="F77" s="4" t="str">
        <x:v>レイ始点から0 mの交点相当</x:v>
      </x:c>
      <x:c r="G77" s="4" t="str">
        <x:v>検出交点まで25 m</x:v>
      </x:c>
      <x:c r="H77" s="4" t="str">
        <x:v>未検出・50 m終端・検査対象外</x:v>
      </x:c>
      <x:c r="I77" s="4" t="str">
        <x:v>ビーム番号56; 相対角84°。実装レイ終点はθ+2πk/240。右手XYでは角度増加は左回り。旧コメントclockwiseと不一致。dは車両中心XYから対象表面までで、車体前端からの車間距離ではない。</x:v>
      </x:c>
      <x:c r="J77" s="4" t="str">
        <x:v>S01;S07;S08;S09;S10;S13;S17</x:v>
      </x:c>
      <x:c r="K77" s="4" t="str">
        <x:v>https://raw.githubusercontent.com/metadriverse/metadrive/85e5dadc6c7436d324348f6e3d8f8e680c06b4db/metadrive/obs/state_obs.py</x:v>
      </x:c>
    </x:row>
    <x:row r="78" ht="92" customHeight="1">
      <x:c r="A78" s="14" t="n">
        <x:v>76</x:v>
      </x:c>
      <x:c r="B78" s="4" t="str">
        <x:v>LiDARビーム057：車体前方から実装角度+85.5°（左）</x:v>
      </x:c>
      <x:c r="C78" s="4" t="str">
        <x:v>m</x:v>
      </x:c>
      <x:c r="D78" s="4" t="str">
        <x:v>検出時:d/50（レイHitFraction）; 未検出・検査対象外:1</x:v>
      </x:c>
      <x:c r="E78" s="4" t="str">
        <x:v>[0,1]（gaussian_noise=0, dropout_prob=0）</x:v>
      </x:c>
      <x:c r="F78" s="4" t="str">
        <x:v>レイ始点から0 mの交点相当</x:v>
      </x:c>
      <x:c r="G78" s="4" t="str">
        <x:v>検出交点まで25 m</x:v>
      </x:c>
      <x:c r="H78" s="4" t="str">
        <x:v>未検出・50 m終端・検査対象外</x:v>
      </x:c>
      <x:c r="I78" s="4" t="str">
        <x:v>ビーム番号57; 相対角85.5°。実装レイ終点はθ+2πk/240。右手XYでは角度増加は左回り。旧コメントclockwiseと不一致。dは車両中心XYから対象表面までで、車体前端からの車間距離ではない。</x:v>
      </x:c>
      <x:c r="J78" s="4" t="str">
        <x:v>S01;S07;S08;S09;S10;S13;S17</x:v>
      </x:c>
      <x:c r="K78" s="4" t="str">
        <x:v>https://raw.githubusercontent.com/metadriverse/metadrive/85e5dadc6c7436d324348f6e3d8f8e680c06b4db/metadrive/obs/state_obs.py</x:v>
      </x:c>
    </x:row>
    <x:row r="79" ht="92" customHeight="1">
      <x:c r="A79" s="14" t="n">
        <x:v>77</x:v>
      </x:c>
      <x:c r="B79" s="4" t="str">
        <x:v>LiDARビーム058：車体前方から実装角度+87°（左）</x:v>
      </x:c>
      <x:c r="C79" s="4" t="str">
        <x:v>m</x:v>
      </x:c>
      <x:c r="D79" s="4" t="str">
        <x:v>検出時:d/50（レイHitFraction）; 未検出・検査対象外:1</x:v>
      </x:c>
      <x:c r="E79" s="4" t="str">
        <x:v>[0,1]（gaussian_noise=0, dropout_prob=0）</x:v>
      </x:c>
      <x:c r="F79" s="4" t="str">
        <x:v>レイ始点から0 mの交点相当</x:v>
      </x:c>
      <x:c r="G79" s="4" t="str">
        <x:v>検出交点まで25 m</x:v>
      </x:c>
      <x:c r="H79" s="4" t="str">
        <x:v>未検出・50 m終端・検査対象外</x:v>
      </x:c>
      <x:c r="I79" s="4" t="str">
        <x:v>ビーム番号58; 相対角87°。実装レイ終点はθ+2πk/240。右手XYでは角度増加は左回り。旧コメントclockwiseと不一致。dは車両中心XYから対象表面までで、車体前端からの車間距離ではない。</x:v>
      </x:c>
      <x:c r="J79" s="4" t="str">
        <x:v>S01;S07;S08;S09;S10;S13;S17</x:v>
      </x:c>
      <x:c r="K79" s="4" t="str">
        <x:v>https://raw.githubusercontent.com/metadriverse/metadrive/85e5dadc6c7436d324348f6e3d8f8e680c06b4db/metadrive/obs/state_obs.py</x:v>
      </x:c>
    </x:row>
    <x:row r="80" ht="92" customHeight="1">
      <x:c r="A80" s="14" t="n">
        <x:v>78</x:v>
      </x:c>
      <x:c r="B80" s="4" t="str">
        <x:v>LiDARビーム059：車体前方から実装角度+88.5°（左）</x:v>
      </x:c>
      <x:c r="C80" s="4" t="str">
        <x:v>m</x:v>
      </x:c>
      <x:c r="D80" s="4" t="str">
        <x:v>検出時:d/50（レイHitFraction）; 未検出・検査対象外:1</x:v>
      </x:c>
      <x:c r="E80" s="4" t="str">
        <x:v>[0,1]（gaussian_noise=0, dropout_prob=0）</x:v>
      </x:c>
      <x:c r="F80" s="4" t="str">
        <x:v>レイ始点から0 mの交点相当</x:v>
      </x:c>
      <x:c r="G80" s="4" t="str">
        <x:v>検出交点まで25 m</x:v>
      </x:c>
      <x:c r="H80" s="4" t="str">
        <x:v>未検出・50 m終端・検査対象外</x:v>
      </x:c>
      <x:c r="I80" s="4" t="str">
        <x:v>ビーム番号59; 相対角88.5°。実装レイ終点はθ+2πk/240。右手XYでは角度増加は左回り。旧コメントclockwiseと不一致。dは車両中心XYから対象表面までで、車体前端からの車間距離ではない。</x:v>
      </x:c>
      <x:c r="J80" s="4" t="str">
        <x:v>S01;S07;S08;S09;S10;S13;S17</x:v>
      </x:c>
      <x:c r="K80" s="4" t="str">
        <x:v>https://raw.githubusercontent.com/metadriverse/metadrive/85e5dadc6c7436d324348f6e3d8f8e680c06b4db/metadrive/obs/state_obs.py</x:v>
      </x:c>
    </x:row>
    <x:row r="81" ht="92" customHeight="1">
      <x:c r="A81" s="14" t="n">
        <x:v>79</x:v>
      </x:c>
      <x:c r="B81" s="4" t="str">
        <x:v>LiDARビーム060：車体前方から実装角度+90°（左）</x:v>
      </x:c>
      <x:c r="C81" s="4" t="str">
        <x:v>m</x:v>
      </x:c>
      <x:c r="D81" s="4" t="str">
        <x:v>検出時:d/50（レイHitFraction）; 未検出・検査対象外:1</x:v>
      </x:c>
      <x:c r="E81" s="4" t="str">
        <x:v>[0,1]（gaussian_noise=0, dropout_prob=0）</x:v>
      </x:c>
      <x:c r="F81" s="4" t="str">
        <x:v>レイ始点から0 mの交点相当</x:v>
      </x:c>
      <x:c r="G81" s="4" t="str">
        <x:v>検出交点まで25 m</x:v>
      </x:c>
      <x:c r="H81" s="4" t="str">
        <x:v>未検出・50 m終端・検査対象外</x:v>
      </x:c>
      <x:c r="I81" s="4" t="str">
        <x:v>ビーム番号60; 相対角90°。実装レイ終点はθ+2πk/240。右手XYでは角度増加は左回り。旧コメントclockwiseと不一致。dは車両中心XYから対象表面までで、車体前端からの車間距離ではない。</x:v>
      </x:c>
      <x:c r="J81" s="4" t="str">
        <x:v>S01;S07;S08;S09;S10;S13;S17</x:v>
      </x:c>
      <x:c r="K81" s="4" t="str">
        <x:v>https://raw.githubusercontent.com/metadriverse/metadrive/85e5dadc6c7436d324348f6e3d8f8e680c06b4db/metadrive/obs/state_obs.py</x:v>
      </x:c>
    </x:row>
    <x:row r="82" ht="92" customHeight="1">
      <x:c r="A82" s="14" t="n">
        <x:v>80</x:v>
      </x:c>
      <x:c r="B82" s="4" t="str">
        <x:v>LiDARビーム061：車体前方から実装角度+91.5°（左）</x:v>
      </x:c>
      <x:c r="C82" s="4" t="str">
        <x:v>m</x:v>
      </x:c>
      <x:c r="D82" s="4" t="str">
        <x:v>検出時:d/50（レイHitFraction）; 未検出・検査対象外:1</x:v>
      </x:c>
      <x:c r="E82" s="4" t="str">
        <x:v>[0,1]（gaussian_noise=0, dropout_prob=0）</x:v>
      </x:c>
      <x:c r="F82" s="4" t="str">
        <x:v>レイ始点から0 mの交点相当</x:v>
      </x:c>
      <x:c r="G82" s="4" t="str">
        <x:v>検出交点まで25 m</x:v>
      </x:c>
      <x:c r="H82" s="4" t="str">
        <x:v>未検出・50 m終端・検査対象外</x:v>
      </x:c>
      <x:c r="I82" s="4" t="str">
        <x:v>ビーム番号61; 相対角91.5°。実装レイ終点はθ+2πk/240。右手XYでは角度増加は左回り。旧コメントclockwiseと不一致。dは車両中心XYから対象表面までで、車体前端からの車間距離ではない。</x:v>
      </x:c>
      <x:c r="J82" s="4" t="str">
        <x:v>S01;S07;S08;S09;S10;S13;S17</x:v>
      </x:c>
      <x:c r="K82" s="4" t="str">
        <x:v>https://raw.githubusercontent.com/metadriverse/metadrive/85e5dadc6c7436d324348f6e3d8f8e680c06b4db/metadrive/obs/state_obs.py</x:v>
      </x:c>
    </x:row>
    <x:row r="83" ht="92" customHeight="1">
      <x:c r="A83" s="14" t="n">
        <x:v>81</x:v>
      </x:c>
      <x:c r="B83" s="4" t="str">
        <x:v>LiDARビーム062：車体前方から実装角度+93°（左）</x:v>
      </x:c>
      <x:c r="C83" s="4" t="str">
        <x:v>m</x:v>
      </x:c>
      <x:c r="D83" s="4" t="str">
        <x:v>検出時:d/50（レイHitFraction）; 未検出・検査対象外:1</x:v>
      </x:c>
      <x:c r="E83" s="4" t="str">
        <x:v>[0,1]（gaussian_noise=0, dropout_prob=0）</x:v>
      </x:c>
      <x:c r="F83" s="4" t="str">
        <x:v>レイ始点から0 mの交点相当</x:v>
      </x:c>
      <x:c r="G83" s="4" t="str">
        <x:v>検出交点まで25 m</x:v>
      </x:c>
      <x:c r="H83" s="4" t="str">
        <x:v>未検出・50 m終端・検査対象外</x:v>
      </x:c>
      <x:c r="I83" s="4" t="str">
        <x:v>ビーム番号62; 相対角93°。実装レイ終点はθ+2πk/240。右手XYでは角度増加は左回り。旧コメントclockwiseと不一致。dは車両中心XYから対象表面までで、車体前端からの車間距離ではない。</x:v>
      </x:c>
      <x:c r="J83" s="4" t="str">
        <x:v>S01;S07;S08;S09;S10;S13;S17</x:v>
      </x:c>
      <x:c r="K83" s="4" t="str">
        <x:v>https://raw.githubusercontent.com/metadriverse/metadrive/85e5dadc6c7436d324348f6e3d8f8e680c06b4db/metadrive/obs/state_obs.py</x:v>
      </x:c>
    </x:row>
    <x:row r="84" ht="92" customHeight="1">
      <x:c r="A84" s="14" t="n">
        <x:v>82</x:v>
      </x:c>
      <x:c r="B84" s="4" t="str">
        <x:v>LiDARビーム063：車体前方から実装角度+94.5°（左）</x:v>
      </x:c>
      <x:c r="C84" s="4" t="str">
        <x:v>m</x:v>
      </x:c>
      <x:c r="D84" s="4" t="str">
        <x:v>検出時:d/50（レイHitFraction）; 未検出・検査対象外:1</x:v>
      </x:c>
      <x:c r="E84" s="4" t="str">
        <x:v>[0,1]（gaussian_noise=0, dropout_prob=0）</x:v>
      </x:c>
      <x:c r="F84" s="4" t="str">
        <x:v>レイ始点から0 mの交点相当</x:v>
      </x:c>
      <x:c r="G84" s="4" t="str">
        <x:v>検出交点まで25 m</x:v>
      </x:c>
      <x:c r="H84" s="4" t="str">
        <x:v>未検出・50 m終端・検査対象外</x:v>
      </x:c>
      <x:c r="I84" s="4" t="str">
        <x:v>ビーム番号63; 相対角94.5°。実装レイ終点はθ+2πk/240。右手XYでは角度増加は左回り。旧コメントclockwiseと不一致。dは車両中心XYから対象表面までで、車体前端からの車間距離ではない。</x:v>
      </x:c>
      <x:c r="J84" s="4" t="str">
        <x:v>S01;S07;S08;S09;S10;S13;S17</x:v>
      </x:c>
      <x:c r="K84" s="4" t="str">
        <x:v>https://raw.githubusercontent.com/metadriverse/metadrive/85e5dadc6c7436d324348f6e3d8f8e680c06b4db/metadrive/obs/state_obs.py</x:v>
      </x:c>
    </x:row>
    <x:row r="85" ht="92" customHeight="1">
      <x:c r="A85" s="14" t="n">
        <x:v>83</x:v>
      </x:c>
      <x:c r="B85" s="4" t="str">
        <x:v>LiDARビーム064：車体前方から実装角度+96°（左）</x:v>
      </x:c>
      <x:c r="C85" s="4" t="str">
        <x:v>m</x:v>
      </x:c>
      <x:c r="D85" s="4" t="str">
        <x:v>検出時:d/50（レイHitFraction）; 未検出・検査対象外:1</x:v>
      </x:c>
      <x:c r="E85" s="4" t="str">
        <x:v>[0,1]（gaussian_noise=0, dropout_prob=0）</x:v>
      </x:c>
      <x:c r="F85" s="4" t="str">
        <x:v>レイ始点から0 mの交点相当</x:v>
      </x:c>
      <x:c r="G85" s="4" t="str">
        <x:v>検出交点まで25 m</x:v>
      </x:c>
      <x:c r="H85" s="4" t="str">
        <x:v>未検出・50 m終端・検査対象外</x:v>
      </x:c>
      <x:c r="I85" s="4" t="str">
        <x:v>ビーム番号64; 相対角96°。実装レイ終点はθ+2πk/240。右手XYでは角度増加は左回り。旧コメントclockwiseと不一致。dは車両中心XYから対象表面までで、車体前端からの車間距離ではない。</x:v>
      </x:c>
      <x:c r="J85" s="4" t="str">
        <x:v>S01;S07;S08;S09;S10;S13;S17</x:v>
      </x:c>
      <x:c r="K85" s="4" t="str">
        <x:v>https://raw.githubusercontent.com/metadriverse/metadrive/85e5dadc6c7436d324348f6e3d8f8e680c06b4db/metadrive/obs/state_obs.py</x:v>
      </x:c>
    </x:row>
    <x:row r="86" ht="92" customHeight="1">
      <x:c r="A86" s="14" t="n">
        <x:v>84</x:v>
      </x:c>
      <x:c r="B86" s="4" t="str">
        <x:v>LiDARビーム065：車体前方から実装角度+97.5°（左）</x:v>
      </x:c>
      <x:c r="C86" s="4" t="str">
        <x:v>m</x:v>
      </x:c>
      <x:c r="D86" s="4" t="str">
        <x:v>検出時:d/50（レイHitFraction）; 未検出・検査対象外:1</x:v>
      </x:c>
      <x:c r="E86" s="4" t="str">
        <x:v>[0,1]（gaussian_noise=0, dropout_prob=0）</x:v>
      </x:c>
      <x:c r="F86" s="4" t="str">
        <x:v>レイ始点から0 mの交点相当</x:v>
      </x:c>
      <x:c r="G86" s="4" t="str">
        <x:v>検出交点まで25 m</x:v>
      </x:c>
      <x:c r="H86" s="4" t="str">
        <x:v>未検出・50 m終端・検査対象外</x:v>
      </x:c>
      <x:c r="I86" s="4" t="str">
        <x:v>ビーム番号65; 相対角97.5°。実装レイ終点はθ+2πk/240。右手XYでは角度増加は左回り。旧コメントclockwiseと不一致。dは車両中心XYから対象表面までで、車体前端からの車間距離ではない。</x:v>
      </x:c>
      <x:c r="J86" s="4" t="str">
        <x:v>S01;S07;S08;S09;S10;S13;S17</x:v>
      </x:c>
      <x:c r="K86" s="4" t="str">
        <x:v>https://raw.githubusercontent.com/metadriverse/metadrive/85e5dadc6c7436d324348f6e3d8f8e680c06b4db/metadrive/obs/state_obs.py</x:v>
      </x:c>
    </x:row>
    <x:row r="87" ht="92" customHeight="1">
      <x:c r="A87" s="14" t="n">
        <x:v>85</x:v>
      </x:c>
      <x:c r="B87" s="4" t="str">
        <x:v>LiDARビーム066：車体前方から実装角度+99°（左）</x:v>
      </x:c>
      <x:c r="C87" s="4" t="str">
        <x:v>m</x:v>
      </x:c>
      <x:c r="D87" s="4" t="str">
        <x:v>検出時:d/50（レイHitFraction）; 未検出・検査対象外:1</x:v>
      </x:c>
      <x:c r="E87" s="4" t="str">
        <x:v>[0,1]（gaussian_noise=0, dropout_prob=0）</x:v>
      </x:c>
      <x:c r="F87" s="4" t="str">
        <x:v>レイ始点から0 mの交点相当</x:v>
      </x:c>
      <x:c r="G87" s="4" t="str">
        <x:v>検出交点まで25 m</x:v>
      </x:c>
      <x:c r="H87" s="4" t="str">
        <x:v>未検出・50 m終端・検査対象外</x:v>
      </x:c>
      <x:c r="I87" s="4" t="str">
        <x:v>ビーム番号66; 相対角99°。実装レイ終点はθ+2πk/240。右手XYでは角度増加は左回り。旧コメントclockwiseと不一致。dは車両中心XYから対象表面までで、車体前端からの車間距離ではない。</x:v>
      </x:c>
      <x:c r="J87" s="4" t="str">
        <x:v>S01;S07;S08;S09;S10;S13;S17</x:v>
      </x:c>
      <x:c r="K87" s="4" t="str">
        <x:v>https://raw.githubusercontent.com/metadriverse/metadrive/85e5dadc6c7436d324348f6e3d8f8e680c06b4db/metadrive/obs/state_obs.py</x:v>
      </x:c>
    </x:row>
    <x:row r="88" ht="92" customHeight="1">
      <x:c r="A88" s="14" t="n">
        <x:v>86</x:v>
      </x:c>
      <x:c r="B88" s="4" t="str">
        <x:v>LiDARビーム067：車体前方から実装角度+100.5°（左）</x:v>
      </x:c>
      <x:c r="C88" s="4" t="str">
        <x:v>m</x:v>
      </x:c>
      <x:c r="D88" s="4" t="str">
        <x:v>検出時:d/50（レイHitFraction）; 未検出・検査対象外:1</x:v>
      </x:c>
      <x:c r="E88" s="4" t="str">
        <x:v>[0,1]（gaussian_noise=0, dropout_prob=0）</x:v>
      </x:c>
      <x:c r="F88" s="4" t="str">
        <x:v>レイ始点から0 mの交点相当</x:v>
      </x:c>
      <x:c r="G88" s="4" t="str">
        <x:v>検出交点まで25 m</x:v>
      </x:c>
      <x:c r="H88" s="4" t="str">
        <x:v>未検出・50 m終端・検査対象外</x:v>
      </x:c>
      <x:c r="I88" s="4" t="str">
        <x:v>ビーム番号67; 相対角100.5°。実装レイ終点はθ+2πk/240。右手XYでは角度増加は左回り。旧コメントclockwiseと不一致。dは車両中心XYから対象表面までで、車体前端からの車間距離ではない。</x:v>
      </x:c>
      <x:c r="J88" s="4" t="str">
        <x:v>S01;S07;S08;S09;S10;S13;S17</x:v>
      </x:c>
      <x:c r="K88" s="4" t="str">
        <x:v>https://raw.githubusercontent.com/metadriverse/metadrive/85e5dadc6c7436d324348f6e3d8f8e680c06b4db/metadrive/obs/state_obs.py</x:v>
      </x:c>
    </x:row>
    <x:row r="89" ht="92" customHeight="1">
      <x:c r="A89" s="14" t="n">
        <x:v>87</x:v>
      </x:c>
      <x:c r="B89" s="4" t="str">
        <x:v>LiDARビーム068：車体前方から実装角度+102°（左）</x:v>
      </x:c>
      <x:c r="C89" s="4" t="str">
        <x:v>m</x:v>
      </x:c>
      <x:c r="D89" s="4" t="str">
        <x:v>検出時:d/50（レイHitFraction）; 未検出・検査対象外:1</x:v>
      </x:c>
      <x:c r="E89" s="4" t="str">
        <x:v>[0,1]（gaussian_noise=0, dropout_prob=0）</x:v>
      </x:c>
      <x:c r="F89" s="4" t="str">
        <x:v>レイ始点から0 mの交点相当</x:v>
      </x:c>
      <x:c r="G89" s="4" t="str">
        <x:v>検出交点まで25 m</x:v>
      </x:c>
      <x:c r="H89" s="4" t="str">
        <x:v>未検出・50 m終端・検査対象外</x:v>
      </x:c>
      <x:c r="I89" s="4" t="str">
        <x:v>ビーム番号68; 相対角102°。実装レイ終点はθ+2πk/240。右手XYでは角度増加は左回り。旧コメントclockwiseと不一致。dは車両中心XYから対象表面までで、車体前端からの車間距離ではない。</x:v>
      </x:c>
      <x:c r="J89" s="4" t="str">
        <x:v>S01;S07;S08;S09;S10;S13;S17</x:v>
      </x:c>
      <x:c r="K89" s="4" t="str">
        <x:v>https://raw.githubusercontent.com/metadriverse/metadrive/85e5dadc6c7436d324348f6e3d8f8e680c06b4db/metadrive/obs/state_obs.py</x:v>
      </x:c>
    </x:row>
    <x:row r="90" ht="92" customHeight="1">
      <x:c r="A90" s="14" t="n">
        <x:v>88</x:v>
      </x:c>
      <x:c r="B90" s="4" t="str">
        <x:v>LiDARビーム069：車体前方から実装角度+103.5°（左）</x:v>
      </x:c>
      <x:c r="C90" s="4" t="str">
        <x:v>m</x:v>
      </x:c>
      <x:c r="D90" s="4" t="str">
        <x:v>検出時:d/50（レイHitFraction）; 未検出・検査対象外:1</x:v>
      </x:c>
      <x:c r="E90" s="4" t="str">
        <x:v>[0,1]（gaussian_noise=0, dropout_prob=0）</x:v>
      </x:c>
      <x:c r="F90" s="4" t="str">
        <x:v>レイ始点から0 mの交点相当</x:v>
      </x:c>
      <x:c r="G90" s="4" t="str">
        <x:v>検出交点まで25 m</x:v>
      </x:c>
      <x:c r="H90" s="4" t="str">
        <x:v>未検出・50 m終端・検査対象外</x:v>
      </x:c>
      <x:c r="I90" s="4" t="str">
        <x:v>ビーム番号69; 相対角103.5°。実装レイ終点はθ+2πk/240。右手XYでは角度増加は左回り。旧コメントclockwiseと不一致。dは車両中心XYから対象表面までで、車体前端からの車間距離ではない。</x:v>
      </x:c>
      <x:c r="J90" s="4" t="str">
        <x:v>S01;S07;S08;S09;S10;S13;S17</x:v>
      </x:c>
      <x:c r="K90" s="4" t="str">
        <x:v>https://raw.githubusercontent.com/metadriverse/metadrive/85e5dadc6c7436d324348f6e3d8f8e680c06b4db/metadrive/obs/state_obs.py</x:v>
      </x:c>
    </x:row>
    <x:row r="91" ht="92" customHeight="1">
      <x:c r="A91" s="14" t="n">
        <x:v>89</x:v>
      </x:c>
      <x:c r="B91" s="4" t="str">
        <x:v>LiDARビーム070：車体前方から実装角度+105°（左）</x:v>
      </x:c>
      <x:c r="C91" s="4" t="str">
        <x:v>m</x:v>
      </x:c>
      <x:c r="D91" s="4" t="str">
        <x:v>検出時:d/50（レイHitFraction）; 未検出・検査対象外:1</x:v>
      </x:c>
      <x:c r="E91" s="4" t="str">
        <x:v>[0,1]（gaussian_noise=0, dropout_prob=0）</x:v>
      </x:c>
      <x:c r="F91" s="4" t="str">
        <x:v>レイ始点から0 mの交点相当</x:v>
      </x:c>
      <x:c r="G91" s="4" t="str">
        <x:v>検出交点まで25 m</x:v>
      </x:c>
      <x:c r="H91" s="4" t="str">
        <x:v>未検出・50 m終端・検査対象外</x:v>
      </x:c>
      <x:c r="I91" s="4" t="str">
        <x:v>ビーム番号70; 相対角105°。実装レイ終点はθ+2πk/240。右手XYでは角度増加は左回り。旧コメントclockwiseと不一致。dは車両中心XYから対象表面までで、車体前端からの車間距離ではない。</x:v>
      </x:c>
      <x:c r="J91" s="4" t="str">
        <x:v>S01;S07;S08;S09;S10;S13;S17</x:v>
      </x:c>
      <x:c r="K91" s="4" t="str">
        <x:v>https://raw.githubusercontent.com/metadriverse/metadrive/85e5dadc6c7436d324348f6e3d8f8e680c06b4db/metadrive/obs/state_obs.py</x:v>
      </x:c>
    </x:row>
    <x:row r="92" ht="92" customHeight="1">
      <x:c r="A92" s="14" t="n">
        <x:v>90</x:v>
      </x:c>
      <x:c r="B92" s="4" t="str">
        <x:v>LiDARビーム071：車体前方から実装角度+106.5°（左）</x:v>
      </x:c>
      <x:c r="C92" s="4" t="str">
        <x:v>m</x:v>
      </x:c>
      <x:c r="D92" s="4" t="str">
        <x:v>検出時:d/50（レイHitFraction）; 未検出・検査対象外:1</x:v>
      </x:c>
      <x:c r="E92" s="4" t="str">
        <x:v>[0,1]（gaussian_noise=0, dropout_prob=0）</x:v>
      </x:c>
      <x:c r="F92" s="4" t="str">
        <x:v>レイ始点から0 mの交点相当</x:v>
      </x:c>
      <x:c r="G92" s="4" t="str">
        <x:v>検出交点まで25 m</x:v>
      </x:c>
      <x:c r="H92" s="4" t="str">
        <x:v>未検出・50 m終端・検査対象外</x:v>
      </x:c>
      <x:c r="I92" s="4" t="str">
        <x:v>ビーム番号71; 相対角106.5°。実装レイ終点はθ+2πk/240。右手XYでは角度増加は左回り。旧コメントclockwiseと不一致。dは車両中心XYから対象表面までで、車体前端からの車間距離ではない。</x:v>
      </x:c>
      <x:c r="J92" s="4" t="str">
        <x:v>S01;S07;S08;S09;S10;S13;S17</x:v>
      </x:c>
      <x:c r="K92" s="4" t="str">
        <x:v>https://raw.githubusercontent.com/metadriverse/metadrive/85e5dadc6c7436d324348f6e3d8f8e680c06b4db/metadrive/obs/state_obs.py</x:v>
      </x:c>
    </x:row>
    <x:row r="93" ht="92" customHeight="1">
      <x:c r="A93" s="14" t="n">
        <x:v>91</x:v>
      </x:c>
      <x:c r="B93" s="4" t="str">
        <x:v>LiDARビーム072：車体前方から実装角度+108°（左）</x:v>
      </x:c>
      <x:c r="C93" s="4" t="str">
        <x:v>m</x:v>
      </x:c>
      <x:c r="D93" s="4" t="str">
        <x:v>検出時:d/50（レイHitFraction）; 未検出・検査対象外:1</x:v>
      </x:c>
      <x:c r="E93" s="4" t="str">
        <x:v>[0,1]（gaussian_noise=0, dropout_prob=0）</x:v>
      </x:c>
      <x:c r="F93" s="4" t="str">
        <x:v>レイ始点から0 mの交点相当</x:v>
      </x:c>
      <x:c r="G93" s="4" t="str">
        <x:v>検出交点まで25 m</x:v>
      </x:c>
      <x:c r="H93" s="4" t="str">
        <x:v>未検出・50 m終端・検査対象外</x:v>
      </x:c>
      <x:c r="I93" s="4" t="str">
        <x:v>ビーム番号72; 相対角108°。実装レイ終点はθ+2πk/240。右手XYでは角度増加は左回り。旧コメントclockwiseと不一致。dは車両中心XYから対象表面までで、車体前端からの車間距離ではない。</x:v>
      </x:c>
      <x:c r="J93" s="4" t="str">
        <x:v>S01;S07;S08;S09;S10;S13;S17</x:v>
      </x:c>
      <x:c r="K93" s="4" t="str">
        <x:v>https://raw.githubusercontent.com/metadriverse/metadrive/85e5dadc6c7436d324348f6e3d8f8e680c06b4db/metadrive/obs/state_obs.py</x:v>
      </x:c>
    </x:row>
    <x:row r="94" ht="92" customHeight="1">
      <x:c r="A94" s="14" t="n">
        <x:v>92</x:v>
      </x:c>
      <x:c r="B94" s="4" t="str">
        <x:v>LiDARビーム073：車体前方から実装角度+109.5°（左）</x:v>
      </x:c>
      <x:c r="C94" s="4" t="str">
        <x:v>m</x:v>
      </x:c>
      <x:c r="D94" s="4" t="str">
        <x:v>検出時:d/50（レイHitFraction）; 未検出・検査対象外:1</x:v>
      </x:c>
      <x:c r="E94" s="4" t="str">
        <x:v>[0,1]（gaussian_noise=0, dropout_prob=0）</x:v>
      </x:c>
      <x:c r="F94" s="4" t="str">
        <x:v>レイ始点から0 mの交点相当</x:v>
      </x:c>
      <x:c r="G94" s="4" t="str">
        <x:v>検出交点まで25 m</x:v>
      </x:c>
      <x:c r="H94" s="4" t="str">
        <x:v>未検出・50 m終端・検査対象外</x:v>
      </x:c>
      <x:c r="I94" s="4" t="str">
        <x:v>ビーム番号73; 相対角109.5°。実装レイ終点はθ+2πk/240。右手XYでは角度増加は左回り。旧コメントclockwiseと不一致。dは車両中心XYから対象表面までで、車体前端からの車間距離ではない。</x:v>
      </x:c>
      <x:c r="J94" s="4" t="str">
        <x:v>S01;S07;S08;S09;S10;S13;S17</x:v>
      </x:c>
      <x:c r="K94" s="4" t="str">
        <x:v>https://raw.githubusercontent.com/metadriverse/metadrive/85e5dadc6c7436d324348f6e3d8f8e680c06b4db/metadrive/obs/state_obs.py</x:v>
      </x:c>
    </x:row>
    <x:row r="95" ht="92" customHeight="1">
      <x:c r="A95" s="14" t="n">
        <x:v>93</x:v>
      </x:c>
      <x:c r="B95" s="4" t="str">
        <x:v>LiDARビーム074：車体前方から実装角度+111°（左）</x:v>
      </x:c>
      <x:c r="C95" s="4" t="str">
        <x:v>m</x:v>
      </x:c>
      <x:c r="D95" s="4" t="str">
        <x:v>検出時:d/50（レイHitFraction）; 未検出・検査対象外:1</x:v>
      </x:c>
      <x:c r="E95" s="4" t="str">
        <x:v>[0,1]（gaussian_noise=0, dropout_prob=0）</x:v>
      </x:c>
      <x:c r="F95" s="4" t="str">
        <x:v>レイ始点から0 mの交点相当</x:v>
      </x:c>
      <x:c r="G95" s="4" t="str">
        <x:v>検出交点まで25 m</x:v>
      </x:c>
      <x:c r="H95" s="4" t="str">
        <x:v>未検出・50 m終端・検査対象外</x:v>
      </x:c>
      <x:c r="I95" s="4" t="str">
        <x:v>ビーム番号74; 相対角111°。実装レイ終点はθ+2πk/240。右手XYでは角度増加は左回り。旧コメントclockwiseと不一致。dは車両中心XYから対象表面までで、車体前端からの車間距離ではない。</x:v>
      </x:c>
      <x:c r="J95" s="4" t="str">
        <x:v>S01;S07;S08;S09;S10;S13;S17</x:v>
      </x:c>
      <x:c r="K95" s="4" t="str">
        <x:v>https://raw.githubusercontent.com/metadriverse/metadrive/85e5dadc6c7436d324348f6e3d8f8e680c06b4db/metadrive/obs/state_obs.py</x:v>
      </x:c>
    </x:row>
    <x:row r="96" ht="92" customHeight="1">
      <x:c r="A96" s="14" t="n">
        <x:v>94</x:v>
      </x:c>
      <x:c r="B96" s="4" t="str">
        <x:v>LiDARビーム075：車体前方から実装角度+112.5°（左）</x:v>
      </x:c>
      <x:c r="C96" s="4" t="str">
        <x:v>m</x:v>
      </x:c>
      <x:c r="D96" s="4" t="str">
        <x:v>検出時:d/50（レイHitFraction）; 未検出・検査対象外:1</x:v>
      </x:c>
      <x:c r="E96" s="4" t="str">
        <x:v>[0,1]（gaussian_noise=0, dropout_prob=0）</x:v>
      </x:c>
      <x:c r="F96" s="4" t="str">
        <x:v>レイ始点から0 mの交点相当</x:v>
      </x:c>
      <x:c r="G96" s="4" t="str">
        <x:v>検出交点まで25 m</x:v>
      </x:c>
      <x:c r="H96" s="4" t="str">
        <x:v>未検出・50 m終端・検査対象外</x:v>
      </x:c>
      <x:c r="I96" s="4" t="str">
        <x:v>ビーム番号75; 相対角112.5°。実装レイ終点はθ+2πk/240。右手XYでは角度増加は左回り。旧コメントclockwiseと不一致。dは車両中心XYから対象表面までで、車体前端からの車間距離ではない。</x:v>
      </x:c>
      <x:c r="J96" s="4" t="str">
        <x:v>S01;S07;S08;S09;S10;S13;S17</x:v>
      </x:c>
      <x:c r="K96" s="4" t="str">
        <x:v>https://raw.githubusercontent.com/metadriverse/metadrive/85e5dadc6c7436d324348f6e3d8f8e680c06b4db/metadrive/obs/state_obs.py</x:v>
      </x:c>
    </x:row>
    <x:row r="97" ht="92" customHeight="1">
      <x:c r="A97" s="14" t="n">
        <x:v>95</x:v>
      </x:c>
      <x:c r="B97" s="4" t="str">
        <x:v>LiDARビーム076：車体前方から実装角度+114°（左）</x:v>
      </x:c>
      <x:c r="C97" s="4" t="str">
        <x:v>m</x:v>
      </x:c>
      <x:c r="D97" s="4" t="str">
        <x:v>検出時:d/50（レイHitFraction）; 未検出・検査対象外:1</x:v>
      </x:c>
      <x:c r="E97" s="4" t="str">
        <x:v>[0,1]（gaussian_noise=0, dropout_prob=0）</x:v>
      </x:c>
      <x:c r="F97" s="4" t="str">
        <x:v>レイ始点から0 mの交点相当</x:v>
      </x:c>
      <x:c r="G97" s="4" t="str">
        <x:v>検出交点まで25 m</x:v>
      </x:c>
      <x:c r="H97" s="4" t="str">
        <x:v>未検出・50 m終端・検査対象外</x:v>
      </x:c>
      <x:c r="I97" s="4" t="str">
        <x:v>ビーム番号76; 相対角114°。実装レイ終点はθ+2πk/240。右手XYでは角度増加は左回り。旧コメントclockwiseと不一致。dは車両中心XYから対象表面までで、車体前端からの車間距離ではない。</x:v>
      </x:c>
      <x:c r="J97" s="4" t="str">
        <x:v>S01;S07;S08;S09;S10;S13;S17</x:v>
      </x:c>
      <x:c r="K97" s="4" t="str">
        <x:v>https://raw.githubusercontent.com/metadriverse/metadrive/85e5dadc6c7436d324348f6e3d8f8e680c06b4db/metadrive/obs/state_obs.py</x:v>
      </x:c>
    </x:row>
    <x:row r="98" ht="92" customHeight="1">
      <x:c r="A98" s="14" t="n">
        <x:v>96</x:v>
      </x:c>
      <x:c r="B98" s="4" t="str">
        <x:v>LiDARビーム077：車体前方から実装角度+115.5°（左）</x:v>
      </x:c>
      <x:c r="C98" s="4" t="str">
        <x:v>m</x:v>
      </x:c>
      <x:c r="D98" s="4" t="str">
        <x:v>検出時:d/50（レイHitFraction）; 未検出・検査対象外:1</x:v>
      </x:c>
      <x:c r="E98" s="4" t="str">
        <x:v>[0,1]（gaussian_noise=0, dropout_prob=0）</x:v>
      </x:c>
      <x:c r="F98" s="4" t="str">
        <x:v>レイ始点から0 mの交点相当</x:v>
      </x:c>
      <x:c r="G98" s="4" t="str">
        <x:v>検出交点まで25 m</x:v>
      </x:c>
      <x:c r="H98" s="4" t="str">
        <x:v>未検出・50 m終端・検査対象外</x:v>
      </x:c>
      <x:c r="I98" s="4" t="str">
        <x:v>ビーム番号77; 相対角115.5°。実装レイ終点はθ+2πk/240。右手XYでは角度増加は左回り。旧コメントclockwiseと不一致。dは車両中心XYから対象表面までで、車体前端からの車間距離ではない。</x:v>
      </x:c>
      <x:c r="J98" s="4" t="str">
        <x:v>S01;S07;S08;S09;S10;S13;S17</x:v>
      </x:c>
      <x:c r="K98" s="4" t="str">
        <x:v>https://raw.githubusercontent.com/metadriverse/metadrive/85e5dadc6c7436d324348f6e3d8f8e680c06b4db/metadrive/obs/state_obs.py</x:v>
      </x:c>
    </x:row>
    <x:row r="99" ht="92" customHeight="1">
      <x:c r="A99" s="14" t="n">
        <x:v>97</x:v>
      </x:c>
      <x:c r="B99" s="4" t="str">
        <x:v>LiDARビーム078：車体前方から実装角度+117°（左）</x:v>
      </x:c>
      <x:c r="C99" s="4" t="str">
        <x:v>m</x:v>
      </x:c>
      <x:c r="D99" s="4" t="str">
        <x:v>検出時:d/50（レイHitFraction）; 未検出・検査対象外:1</x:v>
      </x:c>
      <x:c r="E99" s="4" t="str">
        <x:v>[0,1]（gaussian_noise=0, dropout_prob=0）</x:v>
      </x:c>
      <x:c r="F99" s="4" t="str">
        <x:v>レイ始点から0 mの交点相当</x:v>
      </x:c>
      <x:c r="G99" s="4" t="str">
        <x:v>検出交点まで25 m</x:v>
      </x:c>
      <x:c r="H99" s="4" t="str">
        <x:v>未検出・50 m終端・検査対象外</x:v>
      </x:c>
      <x:c r="I99" s="4" t="str">
        <x:v>ビーム番号78; 相対角117°。実装レイ終点はθ+2πk/240。右手XYでは角度増加は左回り。旧コメントclockwiseと不一致。dは車両中心XYから対象表面までで、車体前端からの車間距離ではない。</x:v>
      </x:c>
      <x:c r="J99" s="4" t="str">
        <x:v>S01;S07;S08;S09;S10;S13;S17</x:v>
      </x:c>
      <x:c r="K99" s="4" t="str">
        <x:v>https://raw.githubusercontent.com/metadriverse/metadrive/85e5dadc6c7436d324348f6e3d8f8e680c06b4db/metadrive/obs/state_obs.py</x:v>
      </x:c>
    </x:row>
    <x:row r="100" ht="92" customHeight="1">
      <x:c r="A100" s="14" t="n">
        <x:v>98</x:v>
      </x:c>
      <x:c r="B100" s="4" t="str">
        <x:v>LiDARビーム079：車体前方から実装角度+118.5°（左）</x:v>
      </x:c>
      <x:c r="C100" s="4" t="str">
        <x:v>m</x:v>
      </x:c>
      <x:c r="D100" s="4" t="str">
        <x:v>検出時:d/50（レイHitFraction）; 未検出・検査対象外:1</x:v>
      </x:c>
      <x:c r="E100" s="4" t="str">
        <x:v>[0,1]（gaussian_noise=0, dropout_prob=0）</x:v>
      </x:c>
      <x:c r="F100" s="4" t="str">
        <x:v>レイ始点から0 mの交点相当</x:v>
      </x:c>
      <x:c r="G100" s="4" t="str">
        <x:v>検出交点まで25 m</x:v>
      </x:c>
      <x:c r="H100" s="4" t="str">
        <x:v>未検出・50 m終端・検査対象外</x:v>
      </x:c>
      <x:c r="I100" s="4" t="str">
        <x:v>ビーム番号79; 相対角118.5°。実装レイ終点はθ+2πk/240。右手XYでは角度増加は左回り。旧コメントclockwiseと不一致。dは車両中心XYから対象表面までで、車体前端からの車間距離ではない。</x:v>
      </x:c>
      <x:c r="J100" s="4" t="str">
        <x:v>S01;S07;S08;S09;S10;S13;S17</x:v>
      </x:c>
      <x:c r="K100" s="4" t="str">
        <x:v>https://raw.githubusercontent.com/metadriverse/metadrive/85e5dadc6c7436d324348f6e3d8f8e680c06b4db/metadrive/obs/state_obs.py</x:v>
      </x:c>
    </x:row>
    <x:row r="101" ht="92" customHeight="1">
      <x:c r="A101" s="14" t="n">
        <x:v>99</x:v>
      </x:c>
      <x:c r="B101" s="4" t="str">
        <x:v>LiDARビーム080：車体前方から実装角度+120°（左）</x:v>
      </x:c>
      <x:c r="C101" s="4" t="str">
        <x:v>m</x:v>
      </x:c>
      <x:c r="D101" s="4" t="str">
        <x:v>検出時:d/50（レイHitFraction）; 未検出・検査対象外:1</x:v>
      </x:c>
      <x:c r="E101" s="4" t="str">
        <x:v>[0,1]（gaussian_noise=0, dropout_prob=0）</x:v>
      </x:c>
      <x:c r="F101" s="4" t="str">
        <x:v>レイ始点から0 mの交点相当</x:v>
      </x:c>
      <x:c r="G101" s="4" t="str">
        <x:v>検出交点まで25 m</x:v>
      </x:c>
      <x:c r="H101" s="4" t="str">
        <x:v>未検出・50 m終端・検査対象外</x:v>
      </x:c>
      <x:c r="I101" s="4" t="str">
        <x:v>ビーム番号80; 相対角120°。実装レイ終点はθ+2πk/240。右手XYでは角度増加は左回り。旧コメントclockwiseと不一致。dは車両中心XYから対象表面までで、車体前端からの車間距離ではない。</x:v>
      </x:c>
      <x:c r="J101" s="4" t="str">
        <x:v>S01;S07;S08;S09;S10;S13;S17</x:v>
      </x:c>
      <x:c r="K101" s="4" t="str">
        <x:v>https://raw.githubusercontent.com/metadriverse/metadrive/85e5dadc6c7436d324348f6e3d8f8e680c06b4db/metadrive/obs/state_obs.py</x:v>
      </x:c>
    </x:row>
    <x:row r="102" ht="92" customHeight="1">
      <x:c r="A102" s="14" t="n">
        <x:v>100</x:v>
      </x:c>
      <x:c r="B102" s="4" t="str">
        <x:v>LiDARビーム081：車体前方から実装角度+121.5°（左）</x:v>
      </x:c>
      <x:c r="C102" s="4" t="str">
        <x:v>m</x:v>
      </x:c>
      <x:c r="D102" s="4" t="str">
        <x:v>検出時:d/50（レイHitFraction）; 未検出・検査対象外:1</x:v>
      </x:c>
      <x:c r="E102" s="4" t="str">
        <x:v>[0,1]（gaussian_noise=0, dropout_prob=0）</x:v>
      </x:c>
      <x:c r="F102" s="4" t="str">
        <x:v>レイ始点から0 mの交点相当</x:v>
      </x:c>
      <x:c r="G102" s="4" t="str">
        <x:v>検出交点まで25 m</x:v>
      </x:c>
      <x:c r="H102" s="4" t="str">
        <x:v>未検出・50 m終端・検査対象外</x:v>
      </x:c>
      <x:c r="I102" s="4" t="str">
        <x:v>ビーム番号81; 相対角121.5°。実装レイ終点はθ+2πk/240。右手XYでは角度増加は左回り。旧コメントclockwiseと不一致。dは車両中心XYから対象表面までで、車体前端からの車間距離ではない。</x:v>
      </x:c>
      <x:c r="J102" s="4" t="str">
        <x:v>S01;S07;S08;S09;S10;S13;S17</x:v>
      </x:c>
      <x:c r="K102" s="4" t="str">
        <x:v>https://raw.githubusercontent.com/metadriverse/metadrive/85e5dadc6c7436d324348f6e3d8f8e680c06b4db/metadrive/obs/state_obs.py</x:v>
      </x:c>
    </x:row>
    <x:row r="103" ht="92" customHeight="1">
      <x:c r="A103" s="14" t="n">
        <x:v>101</x:v>
      </x:c>
      <x:c r="B103" s="4" t="str">
        <x:v>LiDARビーム082：車体前方から実装角度+123°（左）</x:v>
      </x:c>
      <x:c r="C103" s="4" t="str">
        <x:v>m</x:v>
      </x:c>
      <x:c r="D103" s="4" t="str">
        <x:v>検出時:d/50（レイHitFraction）; 未検出・検査対象外:1</x:v>
      </x:c>
      <x:c r="E103" s="4" t="str">
        <x:v>[0,1]（gaussian_noise=0, dropout_prob=0）</x:v>
      </x:c>
      <x:c r="F103" s="4" t="str">
        <x:v>レイ始点から0 mの交点相当</x:v>
      </x:c>
      <x:c r="G103" s="4" t="str">
        <x:v>検出交点まで25 m</x:v>
      </x:c>
      <x:c r="H103" s="4" t="str">
        <x:v>未検出・50 m終端・検査対象外</x:v>
      </x:c>
      <x:c r="I103" s="4" t="str">
        <x:v>ビーム番号82; 相対角123°。実装レイ終点はθ+2πk/240。右手XYでは角度増加は左回り。旧コメントclockwiseと不一致。dは車両中心XYから対象表面までで、車体前端からの車間距離ではない。</x:v>
      </x:c>
      <x:c r="J103" s="4" t="str">
        <x:v>S01;S07;S08;S09;S10;S13;S17</x:v>
      </x:c>
      <x:c r="K103" s="4" t="str">
        <x:v>https://raw.githubusercontent.com/metadriverse/metadrive/85e5dadc6c7436d324348f6e3d8f8e680c06b4db/metadrive/obs/state_obs.py</x:v>
      </x:c>
    </x:row>
    <x:row r="104" ht="92" customHeight="1">
      <x:c r="A104" s="14" t="n">
        <x:v>102</x:v>
      </x:c>
      <x:c r="B104" s="4" t="str">
        <x:v>LiDARビーム083：車体前方から実装角度+124.5°（左）</x:v>
      </x:c>
      <x:c r="C104" s="4" t="str">
        <x:v>m</x:v>
      </x:c>
      <x:c r="D104" s="4" t="str">
        <x:v>検出時:d/50（レイHitFraction）; 未検出・検査対象外:1</x:v>
      </x:c>
      <x:c r="E104" s="4" t="str">
        <x:v>[0,1]（gaussian_noise=0, dropout_prob=0）</x:v>
      </x:c>
      <x:c r="F104" s="4" t="str">
        <x:v>レイ始点から0 mの交点相当</x:v>
      </x:c>
      <x:c r="G104" s="4" t="str">
        <x:v>検出交点まで25 m</x:v>
      </x:c>
      <x:c r="H104" s="4" t="str">
        <x:v>未検出・50 m終端・検査対象外</x:v>
      </x:c>
      <x:c r="I104" s="4" t="str">
        <x:v>ビーム番号83; 相対角124.5°。実装レイ終点はθ+2πk/240。右手XYでは角度増加は左回り。旧コメントclockwiseと不一致。dは車両中心XYから対象表面までで、車体前端からの車間距離ではない。</x:v>
      </x:c>
      <x:c r="J104" s="4" t="str">
        <x:v>S01;S07;S08;S09;S10;S13;S17</x:v>
      </x:c>
      <x:c r="K104" s="4" t="str">
        <x:v>https://raw.githubusercontent.com/metadriverse/metadrive/85e5dadc6c7436d324348f6e3d8f8e680c06b4db/metadrive/obs/state_obs.py</x:v>
      </x:c>
    </x:row>
    <x:row r="105" ht="92" customHeight="1">
      <x:c r="A105" s="14" t="n">
        <x:v>103</x:v>
      </x:c>
      <x:c r="B105" s="4" t="str">
        <x:v>LiDARビーム084：車体前方から実装角度+126°（左）</x:v>
      </x:c>
      <x:c r="C105" s="4" t="str">
        <x:v>m</x:v>
      </x:c>
      <x:c r="D105" s="4" t="str">
        <x:v>検出時:d/50（レイHitFraction）; 未検出・検査対象外:1</x:v>
      </x:c>
      <x:c r="E105" s="4" t="str">
        <x:v>[0,1]（gaussian_noise=0, dropout_prob=0）</x:v>
      </x:c>
      <x:c r="F105" s="4" t="str">
        <x:v>レイ始点から0 mの交点相当</x:v>
      </x:c>
      <x:c r="G105" s="4" t="str">
        <x:v>検出交点まで25 m</x:v>
      </x:c>
      <x:c r="H105" s="4" t="str">
        <x:v>未検出・50 m終端・検査対象外</x:v>
      </x:c>
      <x:c r="I105" s="4" t="str">
        <x:v>ビーム番号84; 相対角126°。実装レイ終点はθ+2πk/240。右手XYでは角度増加は左回り。旧コメントclockwiseと不一致。dは車両中心XYから対象表面までで、車体前端からの車間距離ではない。</x:v>
      </x:c>
      <x:c r="J105" s="4" t="str">
        <x:v>S01;S07;S08;S09;S10;S13;S17</x:v>
      </x:c>
      <x:c r="K105" s="4" t="str">
        <x:v>https://raw.githubusercontent.com/metadriverse/metadrive/85e5dadc6c7436d324348f6e3d8f8e680c06b4db/metadrive/obs/state_obs.py</x:v>
      </x:c>
    </x:row>
    <x:row r="106" ht="92" customHeight="1">
      <x:c r="A106" s="14" t="n">
        <x:v>104</x:v>
      </x:c>
      <x:c r="B106" s="4" t="str">
        <x:v>LiDARビーム085：車体前方から実装角度+127.5°（左）</x:v>
      </x:c>
      <x:c r="C106" s="4" t="str">
        <x:v>m</x:v>
      </x:c>
      <x:c r="D106" s="4" t="str">
        <x:v>検出時:d/50（レイHitFraction）; 未検出・検査対象外:1</x:v>
      </x:c>
      <x:c r="E106" s="4" t="str">
        <x:v>[0,1]（gaussian_noise=0, dropout_prob=0）</x:v>
      </x:c>
      <x:c r="F106" s="4" t="str">
        <x:v>レイ始点から0 mの交点相当</x:v>
      </x:c>
      <x:c r="G106" s="4" t="str">
        <x:v>検出交点まで25 m</x:v>
      </x:c>
      <x:c r="H106" s="4" t="str">
        <x:v>未検出・50 m終端・検査対象外</x:v>
      </x:c>
      <x:c r="I106" s="4" t="str">
        <x:v>ビーム番号85; 相対角127.5°。実装レイ終点はθ+2πk/240。右手XYでは角度増加は左回り。旧コメントclockwiseと不一致。dは車両中心XYから対象表面までで、車体前端からの車間距離ではない。</x:v>
      </x:c>
      <x:c r="J106" s="4" t="str">
        <x:v>S01;S07;S08;S09;S10;S13;S17</x:v>
      </x:c>
      <x:c r="K106" s="4" t="str">
        <x:v>https://raw.githubusercontent.com/metadriverse/metadrive/85e5dadc6c7436d324348f6e3d8f8e680c06b4db/metadrive/obs/state_obs.py</x:v>
      </x:c>
    </x:row>
    <x:row r="107" ht="92" customHeight="1">
      <x:c r="A107" s="14" t="n">
        <x:v>105</x:v>
      </x:c>
      <x:c r="B107" s="4" t="str">
        <x:v>LiDARビーム086：車体前方から実装角度+129°（左）</x:v>
      </x:c>
      <x:c r="C107" s="4" t="str">
        <x:v>m</x:v>
      </x:c>
      <x:c r="D107" s="4" t="str">
        <x:v>検出時:d/50（レイHitFraction）; 未検出・検査対象外:1</x:v>
      </x:c>
      <x:c r="E107" s="4" t="str">
        <x:v>[0,1]（gaussian_noise=0, dropout_prob=0）</x:v>
      </x:c>
      <x:c r="F107" s="4" t="str">
        <x:v>レイ始点から0 mの交点相当</x:v>
      </x:c>
      <x:c r="G107" s="4" t="str">
        <x:v>検出交点まで25 m</x:v>
      </x:c>
      <x:c r="H107" s="4" t="str">
        <x:v>未検出・50 m終端・検査対象外</x:v>
      </x:c>
      <x:c r="I107" s="4" t="str">
        <x:v>ビーム番号86; 相対角129°。実装レイ終点はθ+2πk/240。右手XYでは角度増加は左回り。旧コメントclockwiseと不一致。dは車両中心XYから対象表面までで、車体前端からの車間距離ではない。</x:v>
      </x:c>
      <x:c r="J107" s="4" t="str">
        <x:v>S01;S07;S08;S09;S10;S13;S17</x:v>
      </x:c>
      <x:c r="K107" s="4" t="str">
        <x:v>https://raw.githubusercontent.com/metadriverse/metadrive/85e5dadc6c7436d324348f6e3d8f8e680c06b4db/metadrive/obs/state_obs.py</x:v>
      </x:c>
    </x:row>
    <x:row r="108" ht="92" customHeight="1">
      <x:c r="A108" s="14" t="n">
        <x:v>106</x:v>
      </x:c>
      <x:c r="B108" s="4" t="str">
        <x:v>LiDARビーム087：車体前方から実装角度+130.5°（左）</x:v>
      </x:c>
      <x:c r="C108" s="4" t="str">
        <x:v>m</x:v>
      </x:c>
      <x:c r="D108" s="4" t="str">
        <x:v>検出時:d/50（レイHitFraction）; 未検出・検査対象外:1</x:v>
      </x:c>
      <x:c r="E108" s="4" t="str">
        <x:v>[0,1]（gaussian_noise=0, dropout_prob=0）</x:v>
      </x:c>
      <x:c r="F108" s="4" t="str">
        <x:v>レイ始点から0 mの交点相当</x:v>
      </x:c>
      <x:c r="G108" s="4" t="str">
        <x:v>検出交点まで25 m</x:v>
      </x:c>
      <x:c r="H108" s="4" t="str">
        <x:v>未検出・50 m終端・検査対象外</x:v>
      </x:c>
      <x:c r="I108" s="4" t="str">
        <x:v>ビーム番号87; 相対角130.5°。実装レイ終点はθ+2πk/240。右手XYでは角度増加は左回り。旧コメントclockwiseと不一致。dは車両中心XYから対象表面までで、車体前端からの車間距離ではない。</x:v>
      </x:c>
      <x:c r="J108" s="4" t="str">
        <x:v>S01;S07;S08;S09;S10;S13;S17</x:v>
      </x:c>
      <x:c r="K108" s="4" t="str">
        <x:v>https://raw.githubusercontent.com/metadriverse/metadrive/85e5dadc6c7436d324348f6e3d8f8e680c06b4db/metadrive/obs/state_obs.py</x:v>
      </x:c>
    </x:row>
    <x:row r="109" ht="92" customHeight="1">
      <x:c r="A109" s="14" t="n">
        <x:v>107</x:v>
      </x:c>
      <x:c r="B109" s="4" t="str">
        <x:v>LiDARビーム088：車体前方から実装角度+132°（左）</x:v>
      </x:c>
      <x:c r="C109" s="4" t="str">
        <x:v>m</x:v>
      </x:c>
      <x:c r="D109" s="4" t="str">
        <x:v>検出時:d/50（レイHitFraction）; 未検出・検査対象外:1</x:v>
      </x:c>
      <x:c r="E109" s="4" t="str">
        <x:v>[0,1]（gaussian_noise=0, dropout_prob=0）</x:v>
      </x:c>
      <x:c r="F109" s="4" t="str">
        <x:v>レイ始点から0 mの交点相当</x:v>
      </x:c>
      <x:c r="G109" s="4" t="str">
        <x:v>検出交点まで25 m</x:v>
      </x:c>
      <x:c r="H109" s="4" t="str">
        <x:v>未検出・50 m終端・検査対象外</x:v>
      </x:c>
      <x:c r="I109" s="4" t="str">
        <x:v>ビーム番号88; 相対角132°。実装レイ終点はθ+2πk/240。右手XYでは角度増加は左回り。旧コメントclockwiseと不一致。dは車両中心XYから対象表面までで、車体前端からの車間距離ではない。</x:v>
      </x:c>
      <x:c r="J109" s="4" t="str">
        <x:v>S01;S07;S08;S09;S10;S13;S17</x:v>
      </x:c>
      <x:c r="K109" s="4" t="str">
        <x:v>https://raw.githubusercontent.com/metadriverse/metadrive/85e5dadc6c7436d324348f6e3d8f8e680c06b4db/metadrive/obs/state_obs.py</x:v>
      </x:c>
    </x:row>
    <x:row r="110" ht="92" customHeight="1">
      <x:c r="A110" s="14" t="n">
        <x:v>108</x:v>
      </x:c>
      <x:c r="B110" s="4" t="str">
        <x:v>LiDARビーム089：車体前方から実装角度+133.5°（左）</x:v>
      </x:c>
      <x:c r="C110" s="4" t="str">
        <x:v>m</x:v>
      </x:c>
      <x:c r="D110" s="4" t="str">
        <x:v>検出時:d/50（レイHitFraction）; 未検出・検査対象外:1</x:v>
      </x:c>
      <x:c r="E110" s="4" t="str">
        <x:v>[0,1]（gaussian_noise=0, dropout_prob=0）</x:v>
      </x:c>
      <x:c r="F110" s="4" t="str">
        <x:v>レイ始点から0 mの交点相当</x:v>
      </x:c>
      <x:c r="G110" s="4" t="str">
        <x:v>検出交点まで25 m</x:v>
      </x:c>
      <x:c r="H110" s="4" t="str">
        <x:v>未検出・50 m終端・検査対象外</x:v>
      </x:c>
      <x:c r="I110" s="4" t="str">
        <x:v>ビーム番号89; 相対角133.5°。実装レイ終点はθ+2πk/240。右手XYでは角度増加は左回り。旧コメントclockwiseと不一致。dは車両中心XYから対象表面までで、車体前端からの車間距離ではない。</x:v>
      </x:c>
      <x:c r="J110" s="4" t="str">
        <x:v>S01;S07;S08;S09;S10;S13;S17</x:v>
      </x:c>
      <x:c r="K110" s="4" t="str">
        <x:v>https://raw.githubusercontent.com/metadriverse/metadrive/85e5dadc6c7436d324348f6e3d8f8e680c06b4db/metadrive/obs/state_obs.py</x:v>
      </x:c>
    </x:row>
    <x:row r="111" ht="92" customHeight="1">
      <x:c r="A111" s="14" t="n">
        <x:v>109</x:v>
      </x:c>
      <x:c r="B111" s="4" t="str">
        <x:v>LiDARビーム090：車体前方から実装角度+135°（後）</x:v>
      </x:c>
      <x:c r="C111" s="4" t="str">
        <x:v>m</x:v>
      </x:c>
      <x:c r="D111" s="4" t="str">
        <x:v>検出時:d/50（レイHitFraction）; 未検出・検査対象外:1</x:v>
      </x:c>
      <x:c r="E111" s="4" t="str">
        <x:v>[0,1]（gaussian_noise=0, dropout_prob=0）</x:v>
      </x:c>
      <x:c r="F111" s="4" t="str">
        <x:v>レイ始点から0 mの交点相当</x:v>
      </x:c>
      <x:c r="G111" s="4" t="str">
        <x:v>検出交点まで25 m</x:v>
      </x:c>
      <x:c r="H111" s="4" t="str">
        <x:v>未検出・50 m終端・検査対象外</x:v>
      </x:c>
      <x:c r="I111" s="4" t="str">
        <x:v>ビーム番号90; 相対角135°。実装レイ終点はθ+2πk/240。右手XYでは角度増加は左回り。旧コメントclockwiseと不一致。dは車両中心XYから対象表面までで、車体前端からの車間距離ではない。</x:v>
      </x:c>
      <x:c r="J111" s="4" t="str">
        <x:v>S01;S07;S08;S09;S10;S13;S17</x:v>
      </x:c>
      <x:c r="K111" s="4" t="str">
        <x:v>https://raw.githubusercontent.com/metadriverse/metadrive/85e5dadc6c7436d324348f6e3d8f8e680c06b4db/metadrive/obs/state_obs.py</x:v>
      </x:c>
    </x:row>
    <x:row r="112" ht="92" customHeight="1">
      <x:c r="A112" s="14" t="n">
        <x:v>110</x:v>
      </x:c>
      <x:c r="B112" s="4" t="str">
        <x:v>LiDARビーム091：車体前方から実装角度+136.5°（後）</x:v>
      </x:c>
      <x:c r="C112" s="4" t="str">
        <x:v>m</x:v>
      </x:c>
      <x:c r="D112" s="4" t="str">
        <x:v>検出時:d/50（レイHitFraction）; 未検出・検査対象外:1</x:v>
      </x:c>
      <x:c r="E112" s="4" t="str">
        <x:v>[0,1]（gaussian_noise=0, dropout_prob=0）</x:v>
      </x:c>
      <x:c r="F112" s="4" t="str">
        <x:v>レイ始点から0 mの交点相当</x:v>
      </x:c>
      <x:c r="G112" s="4" t="str">
        <x:v>検出交点まで25 m</x:v>
      </x:c>
      <x:c r="H112" s="4" t="str">
        <x:v>未検出・50 m終端・検査対象外</x:v>
      </x:c>
      <x:c r="I112" s="4" t="str">
        <x:v>ビーム番号91; 相対角136.5°。実装レイ終点はθ+2πk/240。右手XYでは角度増加は左回り。旧コメントclockwiseと不一致。dは車両中心XYから対象表面までで、車体前端からの車間距離ではない。</x:v>
      </x:c>
      <x:c r="J112" s="4" t="str">
        <x:v>S01;S07;S08;S09;S10;S13;S17</x:v>
      </x:c>
      <x:c r="K112" s="4" t="str">
        <x:v>https://raw.githubusercontent.com/metadriverse/metadrive/85e5dadc6c7436d324348f6e3d8f8e680c06b4db/metadrive/obs/state_obs.py</x:v>
      </x:c>
    </x:row>
    <x:row r="113" ht="92" customHeight="1">
      <x:c r="A113" s="14" t="n">
        <x:v>111</x:v>
      </x:c>
      <x:c r="B113" s="4" t="str">
        <x:v>LiDARビーム092：車体前方から実装角度+138°（後）</x:v>
      </x:c>
      <x:c r="C113" s="4" t="str">
        <x:v>m</x:v>
      </x:c>
      <x:c r="D113" s="4" t="str">
        <x:v>検出時:d/50（レイHitFraction）; 未検出・検査対象外:1</x:v>
      </x:c>
      <x:c r="E113" s="4" t="str">
        <x:v>[0,1]（gaussian_noise=0, dropout_prob=0）</x:v>
      </x:c>
      <x:c r="F113" s="4" t="str">
        <x:v>レイ始点から0 mの交点相当</x:v>
      </x:c>
      <x:c r="G113" s="4" t="str">
        <x:v>検出交点まで25 m</x:v>
      </x:c>
      <x:c r="H113" s="4" t="str">
        <x:v>未検出・50 m終端・検査対象外</x:v>
      </x:c>
      <x:c r="I113" s="4" t="str">
        <x:v>ビーム番号92; 相対角138°。実装レイ終点はθ+2πk/240。右手XYでは角度増加は左回り。旧コメントclockwiseと不一致。dは車両中心XYから対象表面までで、車体前端からの車間距離ではない。</x:v>
      </x:c>
      <x:c r="J113" s="4" t="str">
        <x:v>S01;S07;S08;S09;S10;S13;S17</x:v>
      </x:c>
      <x:c r="K113" s="4" t="str">
        <x:v>https://raw.githubusercontent.com/metadriverse/metadrive/85e5dadc6c7436d324348f6e3d8f8e680c06b4db/metadrive/obs/state_obs.py</x:v>
      </x:c>
    </x:row>
    <x:row r="114" ht="92" customHeight="1">
      <x:c r="A114" s="14" t="n">
        <x:v>112</x:v>
      </x:c>
      <x:c r="B114" s="4" t="str">
        <x:v>LiDARビーム093：車体前方から実装角度+139.5°（後）</x:v>
      </x:c>
      <x:c r="C114" s="4" t="str">
        <x:v>m</x:v>
      </x:c>
      <x:c r="D114" s="4" t="str">
        <x:v>検出時:d/50（レイHitFraction）; 未検出・検査対象外:1</x:v>
      </x:c>
      <x:c r="E114" s="4" t="str">
        <x:v>[0,1]（gaussian_noise=0, dropout_prob=0）</x:v>
      </x:c>
      <x:c r="F114" s="4" t="str">
        <x:v>レイ始点から0 mの交点相当</x:v>
      </x:c>
      <x:c r="G114" s="4" t="str">
        <x:v>検出交点まで25 m</x:v>
      </x:c>
      <x:c r="H114" s="4" t="str">
        <x:v>未検出・50 m終端・検査対象外</x:v>
      </x:c>
      <x:c r="I114" s="4" t="str">
        <x:v>ビーム番号93; 相対角139.5°。実装レイ終点はθ+2πk/240。右手XYでは角度増加は左回り。旧コメントclockwiseと不一致。dは車両中心XYから対象表面までで、車体前端からの車間距離ではない。</x:v>
      </x:c>
      <x:c r="J114" s="4" t="str">
        <x:v>S01;S07;S08;S09;S10;S13;S17</x:v>
      </x:c>
      <x:c r="K114" s="4" t="str">
        <x:v>https://raw.githubusercontent.com/metadriverse/metadrive/85e5dadc6c7436d324348f6e3d8f8e680c06b4db/metadrive/obs/state_obs.py</x:v>
      </x:c>
    </x:row>
    <x:row r="115" ht="92" customHeight="1">
      <x:c r="A115" s="14" t="n">
        <x:v>113</x:v>
      </x:c>
      <x:c r="B115" s="4" t="str">
        <x:v>LiDARビーム094：車体前方から実装角度+141°（後）</x:v>
      </x:c>
      <x:c r="C115" s="4" t="str">
        <x:v>m</x:v>
      </x:c>
      <x:c r="D115" s="4" t="str">
        <x:v>検出時:d/50（レイHitFraction）; 未検出・検査対象外:1</x:v>
      </x:c>
      <x:c r="E115" s="4" t="str">
        <x:v>[0,1]（gaussian_noise=0, dropout_prob=0）</x:v>
      </x:c>
      <x:c r="F115" s="4" t="str">
        <x:v>レイ始点から0 mの交点相当</x:v>
      </x:c>
      <x:c r="G115" s="4" t="str">
        <x:v>検出交点まで25 m</x:v>
      </x:c>
      <x:c r="H115" s="4" t="str">
        <x:v>未検出・50 m終端・検査対象外</x:v>
      </x:c>
      <x:c r="I115" s="4" t="str">
        <x:v>ビーム番号94; 相対角141°。実装レイ終点はθ+2πk/240。右手XYでは角度増加は左回り。旧コメントclockwiseと不一致。dは車両中心XYから対象表面までで、車体前端からの車間距離ではない。</x:v>
      </x:c>
      <x:c r="J115" s="4" t="str">
        <x:v>S01;S07;S08;S09;S10;S13;S17</x:v>
      </x:c>
      <x:c r="K115" s="4" t="str">
        <x:v>https://raw.githubusercontent.com/metadriverse/metadrive/85e5dadc6c7436d324348f6e3d8f8e680c06b4db/metadrive/obs/state_obs.py</x:v>
      </x:c>
    </x:row>
    <x:row r="116" ht="92" customHeight="1">
      <x:c r="A116" s="14" t="n">
        <x:v>114</x:v>
      </x:c>
      <x:c r="B116" s="4" t="str">
        <x:v>LiDARビーム095：車体前方から実装角度+142.5°（後）</x:v>
      </x:c>
      <x:c r="C116" s="4" t="str">
        <x:v>m</x:v>
      </x:c>
      <x:c r="D116" s="4" t="str">
        <x:v>検出時:d/50（レイHitFraction）; 未検出・検査対象外:1</x:v>
      </x:c>
      <x:c r="E116" s="4" t="str">
        <x:v>[0,1]（gaussian_noise=0, dropout_prob=0）</x:v>
      </x:c>
      <x:c r="F116" s="4" t="str">
        <x:v>レイ始点から0 mの交点相当</x:v>
      </x:c>
      <x:c r="G116" s="4" t="str">
        <x:v>検出交点まで25 m</x:v>
      </x:c>
      <x:c r="H116" s="4" t="str">
        <x:v>未検出・50 m終端・検査対象外</x:v>
      </x:c>
      <x:c r="I116" s="4" t="str">
        <x:v>ビーム番号95; 相対角142.5°。実装レイ終点はθ+2πk/240。右手XYでは角度増加は左回り。旧コメントclockwiseと不一致。dは車両中心XYから対象表面までで、車体前端からの車間距離ではない。</x:v>
      </x:c>
      <x:c r="J116" s="4" t="str">
        <x:v>S01;S07;S08;S09;S10;S13;S17</x:v>
      </x:c>
      <x:c r="K116" s="4" t="str">
        <x:v>https://raw.githubusercontent.com/metadriverse/metadrive/85e5dadc6c7436d324348f6e3d8f8e680c06b4db/metadrive/obs/state_obs.py</x:v>
      </x:c>
    </x:row>
    <x:row r="117" ht="92" customHeight="1">
      <x:c r="A117" s="14" t="n">
        <x:v>115</x:v>
      </x:c>
      <x:c r="B117" s="4" t="str">
        <x:v>LiDARビーム096：車体前方から実装角度+144°（後）</x:v>
      </x:c>
      <x:c r="C117" s="4" t="str">
        <x:v>m</x:v>
      </x:c>
      <x:c r="D117" s="4" t="str">
        <x:v>検出時:d/50（レイHitFraction）; 未検出・検査対象外:1</x:v>
      </x:c>
      <x:c r="E117" s="4" t="str">
        <x:v>[0,1]（gaussian_noise=0, dropout_prob=0）</x:v>
      </x:c>
      <x:c r="F117" s="4" t="str">
        <x:v>レイ始点から0 mの交点相当</x:v>
      </x:c>
      <x:c r="G117" s="4" t="str">
        <x:v>検出交点まで25 m</x:v>
      </x:c>
      <x:c r="H117" s="4" t="str">
        <x:v>未検出・50 m終端・検査対象外</x:v>
      </x:c>
      <x:c r="I117" s="4" t="str">
        <x:v>ビーム番号96; 相対角144°。実装レイ終点はθ+2πk/240。右手XYでは角度増加は左回り。旧コメントclockwiseと不一致。dは車両中心XYから対象表面までで、車体前端からの車間距離ではない。</x:v>
      </x:c>
      <x:c r="J117" s="4" t="str">
        <x:v>S01;S07;S08;S09;S10;S13;S17</x:v>
      </x:c>
      <x:c r="K117" s="4" t="str">
        <x:v>https://raw.githubusercontent.com/metadriverse/metadrive/85e5dadc6c7436d324348f6e3d8f8e680c06b4db/metadrive/obs/state_obs.py</x:v>
      </x:c>
    </x:row>
    <x:row r="118" ht="92" customHeight="1">
      <x:c r="A118" s="14" t="n">
        <x:v>116</x:v>
      </x:c>
      <x:c r="B118" s="4" t="str">
        <x:v>LiDARビーム097：車体前方から実装角度+145.5°（後）</x:v>
      </x:c>
      <x:c r="C118" s="4" t="str">
        <x:v>m</x:v>
      </x:c>
      <x:c r="D118" s="4" t="str">
        <x:v>検出時:d/50（レイHitFraction）; 未検出・検査対象外:1</x:v>
      </x:c>
      <x:c r="E118" s="4" t="str">
        <x:v>[0,1]（gaussian_noise=0, dropout_prob=0）</x:v>
      </x:c>
      <x:c r="F118" s="4" t="str">
        <x:v>レイ始点から0 mの交点相当</x:v>
      </x:c>
      <x:c r="G118" s="4" t="str">
        <x:v>検出交点まで25 m</x:v>
      </x:c>
      <x:c r="H118" s="4" t="str">
        <x:v>未検出・50 m終端・検査対象外</x:v>
      </x:c>
      <x:c r="I118" s="4" t="str">
        <x:v>ビーム番号97; 相対角145.5°。実装レイ終点はθ+2πk/240。右手XYでは角度増加は左回り。旧コメントclockwiseと不一致。dは車両中心XYから対象表面までで、車体前端からの車間距離ではない。</x:v>
      </x:c>
      <x:c r="J118" s="4" t="str">
        <x:v>S01;S07;S08;S09;S10;S13;S17</x:v>
      </x:c>
      <x:c r="K118" s="4" t="str">
        <x:v>https://raw.githubusercontent.com/metadriverse/metadrive/85e5dadc6c7436d324348f6e3d8f8e680c06b4db/metadrive/obs/state_obs.py</x:v>
      </x:c>
    </x:row>
    <x:row r="119" ht="92" customHeight="1">
      <x:c r="A119" s="14" t="n">
        <x:v>117</x:v>
      </x:c>
      <x:c r="B119" s="4" t="str">
        <x:v>LiDARビーム098：車体前方から実装角度+147°（後）</x:v>
      </x:c>
      <x:c r="C119" s="4" t="str">
        <x:v>m</x:v>
      </x:c>
      <x:c r="D119" s="4" t="str">
        <x:v>検出時:d/50（レイHitFraction）; 未検出・検査対象外:1</x:v>
      </x:c>
      <x:c r="E119" s="4" t="str">
        <x:v>[0,1]（gaussian_noise=0, dropout_prob=0）</x:v>
      </x:c>
      <x:c r="F119" s="4" t="str">
        <x:v>レイ始点から0 mの交点相当</x:v>
      </x:c>
      <x:c r="G119" s="4" t="str">
        <x:v>検出交点まで25 m</x:v>
      </x:c>
      <x:c r="H119" s="4" t="str">
        <x:v>未検出・50 m終端・検査対象外</x:v>
      </x:c>
      <x:c r="I119" s="4" t="str">
        <x:v>ビーム番号98; 相対角147°。実装レイ終点はθ+2πk/240。右手XYでは角度増加は左回り。旧コメントclockwiseと不一致。dは車両中心XYから対象表面までで、車体前端からの車間距離ではない。</x:v>
      </x:c>
      <x:c r="J119" s="4" t="str">
        <x:v>S01;S07;S08;S09;S10;S13;S17</x:v>
      </x:c>
      <x:c r="K119" s="4" t="str">
        <x:v>https://raw.githubusercontent.com/metadriverse/metadrive/85e5dadc6c7436d324348f6e3d8f8e680c06b4db/metadrive/obs/state_obs.py</x:v>
      </x:c>
    </x:row>
    <x:row r="120" ht="92" customHeight="1">
      <x:c r="A120" s="14" t="n">
        <x:v>118</x:v>
      </x:c>
      <x:c r="B120" s="4" t="str">
        <x:v>LiDARビーム099：車体前方から実装角度+148.5°（後）</x:v>
      </x:c>
      <x:c r="C120" s="4" t="str">
        <x:v>m</x:v>
      </x:c>
      <x:c r="D120" s="4" t="str">
        <x:v>検出時:d/50（レイHitFraction）; 未検出・検査対象外:1</x:v>
      </x:c>
      <x:c r="E120" s="4" t="str">
        <x:v>[0,1]（gaussian_noise=0, dropout_prob=0）</x:v>
      </x:c>
      <x:c r="F120" s="4" t="str">
        <x:v>レイ始点から0 mの交点相当</x:v>
      </x:c>
      <x:c r="G120" s="4" t="str">
        <x:v>検出交点まで25 m</x:v>
      </x:c>
      <x:c r="H120" s="4" t="str">
        <x:v>未検出・50 m終端・検査対象外</x:v>
      </x:c>
      <x:c r="I120" s="4" t="str">
        <x:v>ビーム番号99; 相対角148.5°。実装レイ終点はθ+2πk/240。右手XYでは角度増加は左回り。旧コメントclockwiseと不一致。dは車両中心XYから対象表面までで、車体前端からの車間距離ではない。</x:v>
      </x:c>
      <x:c r="J120" s="4" t="str">
        <x:v>S01;S07;S08;S09;S10;S13;S17</x:v>
      </x:c>
      <x:c r="K120" s="4" t="str">
        <x:v>https://raw.githubusercontent.com/metadriverse/metadrive/85e5dadc6c7436d324348f6e3d8f8e680c06b4db/metadrive/obs/state_obs.py</x:v>
      </x:c>
    </x:row>
    <x:row r="121" ht="92" customHeight="1">
      <x:c r="A121" s="14" t="n">
        <x:v>119</x:v>
      </x:c>
      <x:c r="B121" s="4" t="str">
        <x:v>LiDARビーム100：車体前方から実装角度+150°（後）</x:v>
      </x:c>
      <x:c r="C121" s="4" t="str">
        <x:v>m</x:v>
      </x:c>
      <x:c r="D121" s="4" t="str">
        <x:v>検出時:d/50（レイHitFraction）; 未検出・検査対象外:1</x:v>
      </x:c>
      <x:c r="E121" s="4" t="str">
        <x:v>[0,1]（gaussian_noise=0, dropout_prob=0）</x:v>
      </x:c>
      <x:c r="F121" s="4" t="str">
        <x:v>レイ始点から0 mの交点相当</x:v>
      </x:c>
      <x:c r="G121" s="4" t="str">
        <x:v>検出交点まで25 m</x:v>
      </x:c>
      <x:c r="H121" s="4" t="str">
        <x:v>未検出・50 m終端・検査対象外</x:v>
      </x:c>
      <x:c r="I121" s="4" t="str">
        <x:v>ビーム番号100; 相対角150°。実装レイ終点はθ+2πk/240。右手XYでは角度増加は左回り。旧コメントclockwiseと不一致。dは車両中心XYから対象表面までで、車体前端からの車間距離ではない。</x:v>
      </x:c>
      <x:c r="J121" s="4" t="str">
        <x:v>S01;S07;S08;S09;S10;S13;S17</x:v>
      </x:c>
      <x:c r="K121" s="4" t="str">
        <x:v>https://raw.githubusercontent.com/metadriverse/metadrive/85e5dadc6c7436d324348f6e3d8f8e680c06b4db/metadrive/obs/state_obs.py</x:v>
      </x:c>
    </x:row>
    <x:row r="122" ht="92" customHeight="1">
      <x:c r="A122" s="14" t="n">
        <x:v>120</x:v>
      </x:c>
      <x:c r="B122" s="4" t="str">
        <x:v>LiDARビーム101：車体前方から実装角度+151.5°（後）</x:v>
      </x:c>
      <x:c r="C122" s="4" t="str">
        <x:v>m</x:v>
      </x:c>
      <x:c r="D122" s="4" t="str">
        <x:v>検出時:d/50（レイHitFraction）; 未検出・検査対象外:1</x:v>
      </x:c>
      <x:c r="E122" s="4" t="str">
        <x:v>[0,1]（gaussian_noise=0, dropout_prob=0）</x:v>
      </x:c>
      <x:c r="F122" s="4" t="str">
        <x:v>レイ始点から0 mの交点相当</x:v>
      </x:c>
      <x:c r="G122" s="4" t="str">
        <x:v>検出交点まで25 m</x:v>
      </x:c>
      <x:c r="H122" s="4" t="str">
        <x:v>未検出・50 m終端・検査対象外</x:v>
      </x:c>
      <x:c r="I122" s="4" t="str">
        <x:v>ビーム番号101; 相対角151.5°。実装レイ終点はθ+2πk/240。右手XYでは角度増加は左回り。旧コメントclockwiseと不一致。dは車両中心XYから対象表面までで、車体前端からの車間距離ではない。</x:v>
      </x:c>
      <x:c r="J122" s="4" t="str">
        <x:v>S01;S07;S08;S09;S10;S13;S17</x:v>
      </x:c>
      <x:c r="K122" s="4" t="str">
        <x:v>https://raw.githubusercontent.com/metadriverse/metadrive/85e5dadc6c7436d324348f6e3d8f8e680c06b4db/metadrive/obs/state_obs.py</x:v>
      </x:c>
    </x:row>
    <x:row r="123" ht="92" customHeight="1">
      <x:c r="A123" s="14" t="n">
        <x:v>121</x:v>
      </x:c>
      <x:c r="B123" s="4" t="str">
        <x:v>LiDARビーム102：車体前方から実装角度+153°（後）</x:v>
      </x:c>
      <x:c r="C123" s="4" t="str">
        <x:v>m</x:v>
      </x:c>
      <x:c r="D123" s="4" t="str">
        <x:v>検出時:d/50（レイHitFraction）; 未検出・検査対象外:1</x:v>
      </x:c>
      <x:c r="E123" s="4" t="str">
        <x:v>[0,1]（gaussian_noise=0, dropout_prob=0）</x:v>
      </x:c>
      <x:c r="F123" s="4" t="str">
        <x:v>レイ始点から0 mの交点相当</x:v>
      </x:c>
      <x:c r="G123" s="4" t="str">
        <x:v>検出交点まで25 m</x:v>
      </x:c>
      <x:c r="H123" s="4" t="str">
        <x:v>未検出・50 m終端・検査対象外</x:v>
      </x:c>
      <x:c r="I123" s="4" t="str">
        <x:v>ビーム番号102; 相対角153°。実装レイ終点はθ+2πk/240。右手XYでは角度増加は左回り。旧コメントclockwiseと不一致。dは車両中心XYから対象表面までで、車体前端からの車間距離ではない。</x:v>
      </x:c>
      <x:c r="J123" s="4" t="str">
        <x:v>S01;S07;S08;S09;S10;S13;S17</x:v>
      </x:c>
      <x:c r="K123" s="4" t="str">
        <x:v>https://raw.githubusercontent.com/metadriverse/metadrive/85e5dadc6c7436d324348f6e3d8f8e680c06b4db/metadrive/obs/state_obs.py</x:v>
      </x:c>
    </x:row>
    <x:row r="124" ht="92" customHeight="1">
      <x:c r="A124" s="14" t="n">
        <x:v>122</x:v>
      </x:c>
      <x:c r="B124" s="4" t="str">
        <x:v>LiDARビーム103：車体前方から実装角度+154.5°（後）</x:v>
      </x:c>
      <x:c r="C124" s="4" t="str">
        <x:v>m</x:v>
      </x:c>
      <x:c r="D124" s="4" t="str">
        <x:v>検出時:d/50（レイHitFraction）; 未検出・検査対象外:1</x:v>
      </x:c>
      <x:c r="E124" s="4" t="str">
        <x:v>[0,1]（gaussian_noise=0, dropout_prob=0）</x:v>
      </x:c>
      <x:c r="F124" s="4" t="str">
        <x:v>レイ始点から0 mの交点相当</x:v>
      </x:c>
      <x:c r="G124" s="4" t="str">
        <x:v>検出交点まで25 m</x:v>
      </x:c>
      <x:c r="H124" s="4" t="str">
        <x:v>未検出・50 m終端・検査対象外</x:v>
      </x:c>
      <x:c r="I124" s="4" t="str">
        <x:v>ビーム番号103; 相対角154.5°。実装レイ終点はθ+2πk/240。右手XYでは角度増加は左回り。旧コメントclockwiseと不一致。dは車両中心XYから対象表面までで、車体前端からの車間距離ではない。</x:v>
      </x:c>
      <x:c r="J124" s="4" t="str">
        <x:v>S01;S07;S08;S09;S10;S13;S17</x:v>
      </x:c>
      <x:c r="K124" s="4" t="str">
        <x:v>https://raw.githubusercontent.com/metadriverse/metadrive/85e5dadc6c7436d324348f6e3d8f8e680c06b4db/metadrive/obs/state_obs.py</x:v>
      </x:c>
    </x:row>
    <x:row r="125" ht="92" customHeight="1">
      <x:c r="A125" s="14" t="n">
        <x:v>123</x:v>
      </x:c>
      <x:c r="B125" s="4" t="str">
        <x:v>LiDARビーム104：車体前方から実装角度+156°（後）</x:v>
      </x:c>
      <x:c r="C125" s="4" t="str">
        <x:v>m</x:v>
      </x:c>
      <x:c r="D125" s="4" t="str">
        <x:v>検出時:d/50（レイHitFraction）; 未検出・検査対象外:1</x:v>
      </x:c>
      <x:c r="E125" s="4" t="str">
        <x:v>[0,1]（gaussian_noise=0, dropout_prob=0）</x:v>
      </x:c>
      <x:c r="F125" s="4" t="str">
        <x:v>レイ始点から0 mの交点相当</x:v>
      </x:c>
      <x:c r="G125" s="4" t="str">
        <x:v>検出交点まで25 m</x:v>
      </x:c>
      <x:c r="H125" s="4" t="str">
        <x:v>未検出・50 m終端・検査対象外</x:v>
      </x:c>
      <x:c r="I125" s="4" t="str">
        <x:v>ビーム番号104; 相対角156°。実装レイ終点はθ+2πk/240。右手XYでは角度増加は左回り。旧コメントclockwiseと不一致。dは車両中心XYから対象表面までで、車体前端からの車間距離ではない。</x:v>
      </x:c>
      <x:c r="J125" s="4" t="str">
        <x:v>S01;S07;S08;S09;S10;S13;S17</x:v>
      </x:c>
      <x:c r="K125" s="4" t="str">
        <x:v>https://raw.githubusercontent.com/metadriverse/metadrive/85e5dadc6c7436d324348f6e3d8f8e680c06b4db/metadrive/obs/state_obs.py</x:v>
      </x:c>
    </x:row>
    <x:row r="126" ht="92" customHeight="1">
      <x:c r="A126" s="14" t="n">
        <x:v>124</x:v>
      </x:c>
      <x:c r="B126" s="4" t="str">
        <x:v>LiDARビーム105：車体前方から実装角度+157.5°（後）</x:v>
      </x:c>
      <x:c r="C126" s="4" t="str">
        <x:v>m</x:v>
      </x:c>
      <x:c r="D126" s="4" t="str">
        <x:v>検出時:d/50（レイHitFraction）; 未検出・検査対象外:1</x:v>
      </x:c>
      <x:c r="E126" s="4" t="str">
        <x:v>[0,1]（gaussian_noise=0, dropout_prob=0）</x:v>
      </x:c>
      <x:c r="F126" s="4" t="str">
        <x:v>レイ始点から0 mの交点相当</x:v>
      </x:c>
      <x:c r="G126" s="4" t="str">
        <x:v>検出交点まで25 m</x:v>
      </x:c>
      <x:c r="H126" s="4" t="str">
        <x:v>未検出・50 m終端・検査対象外</x:v>
      </x:c>
      <x:c r="I126" s="4" t="str">
        <x:v>ビーム番号105; 相対角157.5°。実装レイ終点はθ+2πk/240。右手XYでは角度増加は左回り。旧コメントclockwiseと不一致。dは車両中心XYから対象表面までで、車体前端からの車間距離ではない。</x:v>
      </x:c>
      <x:c r="J126" s="4" t="str">
        <x:v>S01;S07;S08;S09;S10;S13;S17</x:v>
      </x:c>
      <x:c r="K126" s="4" t="str">
        <x:v>https://raw.githubusercontent.com/metadriverse/metadrive/85e5dadc6c7436d324348f6e3d8f8e680c06b4db/metadrive/obs/state_obs.py</x:v>
      </x:c>
    </x:row>
    <x:row r="127" ht="92" customHeight="1">
      <x:c r="A127" s="14" t="n">
        <x:v>125</x:v>
      </x:c>
      <x:c r="B127" s="4" t="str">
        <x:v>LiDARビーム106：車体前方から実装角度+159°（後）</x:v>
      </x:c>
      <x:c r="C127" s="4" t="str">
        <x:v>m</x:v>
      </x:c>
      <x:c r="D127" s="4" t="str">
        <x:v>検出時:d/50（レイHitFraction）; 未検出・検査対象外:1</x:v>
      </x:c>
      <x:c r="E127" s="4" t="str">
        <x:v>[0,1]（gaussian_noise=0, dropout_prob=0）</x:v>
      </x:c>
      <x:c r="F127" s="4" t="str">
        <x:v>レイ始点から0 mの交点相当</x:v>
      </x:c>
      <x:c r="G127" s="4" t="str">
        <x:v>検出交点まで25 m</x:v>
      </x:c>
      <x:c r="H127" s="4" t="str">
        <x:v>未検出・50 m終端・検査対象外</x:v>
      </x:c>
      <x:c r="I127" s="4" t="str">
        <x:v>ビーム番号106; 相対角159°。実装レイ終点はθ+2πk/240。右手XYでは角度増加は左回り。旧コメントclockwiseと不一致。dは車両中心XYから対象表面までで、車体前端からの車間距離ではない。</x:v>
      </x:c>
      <x:c r="J127" s="4" t="str">
        <x:v>S01;S07;S08;S09;S10;S13;S17</x:v>
      </x:c>
      <x:c r="K127" s="4" t="str">
        <x:v>https://raw.githubusercontent.com/metadriverse/metadrive/85e5dadc6c7436d324348f6e3d8f8e680c06b4db/metadrive/obs/state_obs.py</x:v>
      </x:c>
    </x:row>
    <x:row r="128" ht="92" customHeight="1">
      <x:c r="A128" s="14" t="n">
        <x:v>126</x:v>
      </x:c>
      <x:c r="B128" s="4" t="str">
        <x:v>LiDARビーム107：車体前方から実装角度+160.5°（後）</x:v>
      </x:c>
      <x:c r="C128" s="4" t="str">
        <x:v>m</x:v>
      </x:c>
      <x:c r="D128" s="4" t="str">
        <x:v>検出時:d/50（レイHitFraction）; 未検出・検査対象外:1</x:v>
      </x:c>
      <x:c r="E128" s="4" t="str">
        <x:v>[0,1]（gaussian_noise=0, dropout_prob=0）</x:v>
      </x:c>
      <x:c r="F128" s="4" t="str">
        <x:v>レイ始点から0 mの交点相当</x:v>
      </x:c>
      <x:c r="G128" s="4" t="str">
        <x:v>検出交点まで25 m</x:v>
      </x:c>
      <x:c r="H128" s="4" t="str">
        <x:v>未検出・50 m終端・検査対象外</x:v>
      </x:c>
      <x:c r="I128" s="4" t="str">
        <x:v>ビーム番号107; 相対角160.5°。実装レイ終点はθ+2πk/240。右手XYでは角度増加は左回り。旧コメントclockwiseと不一致。dは車両中心XYから対象表面までで、車体前端からの車間距離ではない。</x:v>
      </x:c>
      <x:c r="J128" s="4" t="str">
        <x:v>S01;S07;S08;S09;S10;S13;S17</x:v>
      </x:c>
      <x:c r="K128" s="4" t="str">
        <x:v>https://raw.githubusercontent.com/metadriverse/metadrive/85e5dadc6c7436d324348f6e3d8f8e680c06b4db/metadrive/obs/state_obs.py</x:v>
      </x:c>
    </x:row>
    <x:row r="129" ht="92" customHeight="1">
      <x:c r="A129" s="14" t="n">
        <x:v>127</x:v>
      </x:c>
      <x:c r="B129" s="4" t="str">
        <x:v>LiDARビーム108：車体前方から実装角度+162°（後）</x:v>
      </x:c>
      <x:c r="C129" s="4" t="str">
        <x:v>m</x:v>
      </x:c>
      <x:c r="D129" s="4" t="str">
        <x:v>検出時:d/50（レイHitFraction）; 未検出・検査対象外:1</x:v>
      </x:c>
      <x:c r="E129" s="4" t="str">
        <x:v>[0,1]（gaussian_noise=0, dropout_prob=0）</x:v>
      </x:c>
      <x:c r="F129" s="4" t="str">
        <x:v>レイ始点から0 mの交点相当</x:v>
      </x:c>
      <x:c r="G129" s="4" t="str">
        <x:v>検出交点まで25 m</x:v>
      </x:c>
      <x:c r="H129" s="4" t="str">
        <x:v>未検出・50 m終端・検査対象外</x:v>
      </x:c>
      <x:c r="I129" s="4" t="str">
        <x:v>ビーム番号108; 相対角162°。実装レイ終点はθ+2πk/240。右手XYでは角度増加は左回り。旧コメントclockwiseと不一致。dは車両中心XYから対象表面までで、車体前端からの車間距離ではない。</x:v>
      </x:c>
      <x:c r="J129" s="4" t="str">
        <x:v>S01;S07;S08;S09;S10;S13;S17</x:v>
      </x:c>
      <x:c r="K129" s="4" t="str">
        <x:v>https://raw.githubusercontent.com/metadriverse/metadrive/85e5dadc6c7436d324348f6e3d8f8e680c06b4db/metadrive/obs/state_obs.py</x:v>
      </x:c>
    </x:row>
    <x:row r="130" ht="92" customHeight="1">
      <x:c r="A130" s="14" t="n">
        <x:v>128</x:v>
      </x:c>
      <x:c r="B130" s="4" t="str">
        <x:v>LiDARビーム109：車体前方から実装角度+163.5°（後）</x:v>
      </x:c>
      <x:c r="C130" s="4" t="str">
        <x:v>m</x:v>
      </x:c>
      <x:c r="D130" s="4" t="str">
        <x:v>検出時:d/50（レイHitFraction）; 未検出・検査対象外:1</x:v>
      </x:c>
      <x:c r="E130" s="4" t="str">
        <x:v>[0,1]（gaussian_noise=0, dropout_prob=0）</x:v>
      </x:c>
      <x:c r="F130" s="4" t="str">
        <x:v>レイ始点から0 mの交点相当</x:v>
      </x:c>
      <x:c r="G130" s="4" t="str">
        <x:v>検出交点まで25 m</x:v>
      </x:c>
      <x:c r="H130" s="4" t="str">
        <x:v>未検出・50 m終端・検査対象外</x:v>
      </x:c>
      <x:c r="I130" s="4" t="str">
        <x:v>ビーム番号109; 相対角163.5°。実装レイ終点はθ+2πk/240。右手XYでは角度増加は左回り。旧コメントclockwiseと不一致。dは車両中心XYから対象表面までで、車体前端からの車間距離ではない。</x:v>
      </x:c>
      <x:c r="J130" s="4" t="str">
        <x:v>S01;S07;S08;S09;S10;S13;S17</x:v>
      </x:c>
      <x:c r="K130" s="4" t="str">
        <x:v>https://raw.githubusercontent.com/metadriverse/metadrive/85e5dadc6c7436d324348f6e3d8f8e680c06b4db/metadrive/obs/state_obs.py</x:v>
      </x:c>
    </x:row>
    <x:row r="131" ht="92" customHeight="1">
      <x:c r="A131" s="14" t="n">
        <x:v>129</x:v>
      </x:c>
      <x:c r="B131" s="4" t="str">
        <x:v>LiDARビーム110：車体前方から実装角度+165°（後）</x:v>
      </x:c>
      <x:c r="C131" s="4" t="str">
        <x:v>m</x:v>
      </x:c>
      <x:c r="D131" s="4" t="str">
        <x:v>検出時:d/50（レイHitFraction）; 未検出・検査対象外:1</x:v>
      </x:c>
      <x:c r="E131" s="4" t="str">
        <x:v>[0,1]（gaussian_noise=0, dropout_prob=0）</x:v>
      </x:c>
      <x:c r="F131" s="4" t="str">
        <x:v>レイ始点から0 mの交点相当</x:v>
      </x:c>
      <x:c r="G131" s="4" t="str">
        <x:v>検出交点まで25 m</x:v>
      </x:c>
      <x:c r="H131" s="4" t="str">
        <x:v>未検出・50 m終端・検査対象外</x:v>
      </x:c>
      <x:c r="I131" s="4" t="str">
        <x:v>ビーム番号110; 相対角165°。実装レイ終点はθ+2πk/240。右手XYでは角度増加は左回り。旧コメントclockwiseと不一致。dは車両中心XYから対象表面までで、車体前端からの車間距離ではない。</x:v>
      </x:c>
      <x:c r="J131" s="4" t="str">
        <x:v>S01;S07;S08;S09;S10;S13;S17</x:v>
      </x:c>
      <x:c r="K131" s="4" t="str">
        <x:v>https://raw.githubusercontent.com/metadriverse/metadrive/85e5dadc6c7436d324348f6e3d8f8e680c06b4db/metadrive/obs/state_obs.py</x:v>
      </x:c>
    </x:row>
    <x:row r="132" ht="92" customHeight="1">
      <x:c r="A132" s="14" t="n">
        <x:v>130</x:v>
      </x:c>
      <x:c r="B132" s="4" t="str">
        <x:v>LiDARビーム111：車体前方から実装角度+166.5°（後）</x:v>
      </x:c>
      <x:c r="C132" s="4" t="str">
        <x:v>m</x:v>
      </x:c>
      <x:c r="D132" s="4" t="str">
        <x:v>検出時:d/50（レイHitFraction）; 未検出・検査対象外:1</x:v>
      </x:c>
      <x:c r="E132" s="4" t="str">
        <x:v>[0,1]（gaussian_noise=0, dropout_prob=0）</x:v>
      </x:c>
      <x:c r="F132" s="4" t="str">
        <x:v>レイ始点から0 mの交点相当</x:v>
      </x:c>
      <x:c r="G132" s="4" t="str">
        <x:v>検出交点まで25 m</x:v>
      </x:c>
      <x:c r="H132" s="4" t="str">
        <x:v>未検出・50 m終端・検査対象外</x:v>
      </x:c>
      <x:c r="I132" s="4" t="str">
        <x:v>ビーム番号111; 相対角166.5°。実装レイ終点はθ+2πk/240。右手XYでは角度増加は左回り。旧コメントclockwiseと不一致。dは車両中心XYから対象表面までで、車体前端からの車間距離ではない。</x:v>
      </x:c>
      <x:c r="J132" s="4" t="str">
        <x:v>S01;S07;S08;S09;S10;S13;S17</x:v>
      </x:c>
      <x:c r="K132" s="4" t="str">
        <x:v>https://raw.githubusercontent.com/metadriverse/metadrive/85e5dadc6c7436d324348f6e3d8f8e680c06b4db/metadrive/obs/state_obs.py</x:v>
      </x:c>
    </x:row>
    <x:row r="133" ht="92" customHeight="1">
      <x:c r="A133" s="14" t="n">
        <x:v>131</x:v>
      </x:c>
      <x:c r="B133" s="4" t="str">
        <x:v>LiDARビーム112：車体前方から実装角度+168°（後）</x:v>
      </x:c>
      <x:c r="C133" s="4" t="str">
        <x:v>m</x:v>
      </x:c>
      <x:c r="D133" s="4" t="str">
        <x:v>検出時:d/50（レイHitFraction）; 未検出・検査対象外:1</x:v>
      </x:c>
      <x:c r="E133" s="4" t="str">
        <x:v>[0,1]（gaussian_noise=0, dropout_prob=0）</x:v>
      </x:c>
      <x:c r="F133" s="4" t="str">
        <x:v>レイ始点から0 mの交点相当</x:v>
      </x:c>
      <x:c r="G133" s="4" t="str">
        <x:v>検出交点まで25 m</x:v>
      </x:c>
      <x:c r="H133" s="4" t="str">
        <x:v>未検出・50 m終端・検査対象外</x:v>
      </x:c>
      <x:c r="I133" s="4" t="str">
        <x:v>ビーム番号112; 相対角168°。実装レイ終点はθ+2πk/240。右手XYでは角度増加は左回り。旧コメントclockwiseと不一致。dは車両中心XYから対象表面までで、車体前端からの車間距離ではない。</x:v>
      </x:c>
      <x:c r="J133" s="4" t="str">
        <x:v>S01;S07;S08;S09;S10;S13;S17</x:v>
      </x:c>
      <x:c r="K133" s="4" t="str">
        <x:v>https://raw.githubusercontent.com/metadriverse/metadrive/85e5dadc6c7436d324348f6e3d8f8e680c06b4db/metadrive/obs/state_obs.py</x:v>
      </x:c>
    </x:row>
    <x:row r="134" ht="92" customHeight="1">
      <x:c r="A134" s="14" t="n">
        <x:v>132</x:v>
      </x:c>
      <x:c r="B134" s="4" t="str">
        <x:v>LiDARビーム113：車体前方から実装角度+169.5°（後）</x:v>
      </x:c>
      <x:c r="C134" s="4" t="str">
        <x:v>m</x:v>
      </x:c>
      <x:c r="D134" s="4" t="str">
        <x:v>検出時:d/50（レイHitFraction）; 未検出・検査対象外:1</x:v>
      </x:c>
      <x:c r="E134" s="4" t="str">
        <x:v>[0,1]（gaussian_noise=0, dropout_prob=0）</x:v>
      </x:c>
      <x:c r="F134" s="4" t="str">
        <x:v>レイ始点から0 mの交点相当</x:v>
      </x:c>
      <x:c r="G134" s="4" t="str">
        <x:v>検出交点まで25 m</x:v>
      </x:c>
      <x:c r="H134" s="4" t="str">
        <x:v>未検出・50 m終端・検査対象外</x:v>
      </x:c>
      <x:c r="I134" s="4" t="str">
        <x:v>ビーム番号113; 相対角169.5°。実装レイ終点はθ+2πk/240。右手XYでは角度増加は左回り。旧コメントclockwiseと不一致。dは車両中心XYから対象表面までで、車体前端からの車間距離ではない。</x:v>
      </x:c>
      <x:c r="J134" s="4" t="str">
        <x:v>S01;S07;S08;S09;S10;S13;S17</x:v>
      </x:c>
      <x:c r="K134" s="4" t="str">
        <x:v>https://raw.githubusercontent.com/metadriverse/metadrive/85e5dadc6c7436d324348f6e3d8f8e680c06b4db/metadrive/obs/state_obs.py</x:v>
      </x:c>
    </x:row>
    <x:row r="135" ht="92" customHeight="1">
      <x:c r="A135" s="14" t="n">
        <x:v>133</x:v>
      </x:c>
      <x:c r="B135" s="4" t="str">
        <x:v>LiDARビーム114：車体前方から実装角度+171°（後）</x:v>
      </x:c>
      <x:c r="C135" s="4" t="str">
        <x:v>m</x:v>
      </x:c>
      <x:c r="D135" s="4" t="str">
        <x:v>検出時:d/50（レイHitFraction）; 未検出・検査対象外:1</x:v>
      </x:c>
      <x:c r="E135" s="4" t="str">
        <x:v>[0,1]（gaussian_noise=0, dropout_prob=0）</x:v>
      </x:c>
      <x:c r="F135" s="4" t="str">
        <x:v>レイ始点から0 mの交点相当</x:v>
      </x:c>
      <x:c r="G135" s="4" t="str">
        <x:v>検出交点まで25 m</x:v>
      </x:c>
      <x:c r="H135" s="4" t="str">
        <x:v>未検出・50 m終端・検査対象外</x:v>
      </x:c>
      <x:c r="I135" s="4" t="str">
        <x:v>ビーム番号114; 相対角171°。実装レイ終点はθ+2πk/240。右手XYでは角度増加は左回り。旧コメントclockwiseと不一致。dは車両中心XYから対象表面までで、車体前端からの車間距離ではない。</x:v>
      </x:c>
      <x:c r="J135" s="4" t="str">
        <x:v>S01;S07;S08;S09;S10;S13;S17</x:v>
      </x:c>
      <x:c r="K135" s="4" t="str">
        <x:v>https://raw.githubusercontent.com/metadriverse/metadrive/85e5dadc6c7436d324348f6e3d8f8e680c06b4db/metadrive/obs/state_obs.py</x:v>
      </x:c>
    </x:row>
    <x:row r="136" ht="92" customHeight="1">
      <x:c r="A136" s="14" t="n">
        <x:v>134</x:v>
      </x:c>
      <x:c r="B136" s="4" t="str">
        <x:v>LiDARビーム115：車体前方から実装角度+172.5°（後）</x:v>
      </x:c>
      <x:c r="C136" s="4" t="str">
        <x:v>m</x:v>
      </x:c>
      <x:c r="D136" s="4" t="str">
        <x:v>検出時:d/50（レイHitFraction）; 未検出・検査対象外:1</x:v>
      </x:c>
      <x:c r="E136" s="4" t="str">
        <x:v>[0,1]（gaussian_noise=0, dropout_prob=0）</x:v>
      </x:c>
      <x:c r="F136" s="4" t="str">
        <x:v>レイ始点から0 mの交点相当</x:v>
      </x:c>
      <x:c r="G136" s="4" t="str">
        <x:v>検出交点まで25 m</x:v>
      </x:c>
      <x:c r="H136" s="4" t="str">
        <x:v>未検出・50 m終端・検査対象外</x:v>
      </x:c>
      <x:c r="I136" s="4" t="str">
        <x:v>ビーム番号115; 相対角172.5°。実装レイ終点はθ+2πk/240。右手XYでは角度増加は左回り。旧コメントclockwiseと不一致。dは車両中心XYから対象表面までで、車体前端からの車間距離ではない。</x:v>
      </x:c>
      <x:c r="J136" s="4" t="str">
        <x:v>S01;S07;S08;S09;S10;S13;S17</x:v>
      </x:c>
      <x:c r="K136" s="4" t="str">
        <x:v>https://raw.githubusercontent.com/metadriverse/metadrive/85e5dadc6c7436d324348f6e3d8f8e680c06b4db/metadrive/obs/state_obs.py</x:v>
      </x:c>
    </x:row>
    <x:row r="137" ht="92" customHeight="1">
      <x:c r="A137" s="14" t="n">
        <x:v>135</x:v>
      </x:c>
      <x:c r="B137" s="4" t="str">
        <x:v>LiDARビーム116：車体前方から実装角度+174°（後）</x:v>
      </x:c>
      <x:c r="C137" s="4" t="str">
        <x:v>m</x:v>
      </x:c>
      <x:c r="D137" s="4" t="str">
        <x:v>検出時:d/50（レイHitFraction）; 未検出・検査対象外:1</x:v>
      </x:c>
      <x:c r="E137" s="4" t="str">
        <x:v>[0,1]（gaussian_noise=0, dropout_prob=0）</x:v>
      </x:c>
      <x:c r="F137" s="4" t="str">
        <x:v>レイ始点から0 mの交点相当</x:v>
      </x:c>
      <x:c r="G137" s="4" t="str">
        <x:v>検出交点まで25 m</x:v>
      </x:c>
      <x:c r="H137" s="4" t="str">
        <x:v>未検出・50 m終端・検査対象外</x:v>
      </x:c>
      <x:c r="I137" s="4" t="str">
        <x:v>ビーム番号116; 相対角174°。実装レイ終点はθ+2πk/240。右手XYでは角度増加は左回り。旧コメントclockwiseと不一致。dは車両中心XYから対象表面までで、車体前端からの車間距離ではない。</x:v>
      </x:c>
      <x:c r="J137" s="4" t="str">
        <x:v>S01;S07;S08;S09;S10;S13;S17</x:v>
      </x:c>
      <x:c r="K137" s="4" t="str">
        <x:v>https://raw.githubusercontent.com/metadriverse/metadrive/85e5dadc6c7436d324348f6e3d8f8e680c06b4db/metadrive/obs/state_obs.py</x:v>
      </x:c>
    </x:row>
    <x:row r="138" ht="92" customHeight="1">
      <x:c r="A138" s="14" t="n">
        <x:v>136</x:v>
      </x:c>
      <x:c r="B138" s="4" t="str">
        <x:v>LiDARビーム117：車体前方から実装角度+175.5°（後）</x:v>
      </x:c>
      <x:c r="C138" s="4" t="str">
        <x:v>m</x:v>
      </x:c>
      <x:c r="D138" s="4" t="str">
        <x:v>検出時:d/50（レイHitFraction）; 未検出・検査対象外:1</x:v>
      </x:c>
      <x:c r="E138" s="4" t="str">
        <x:v>[0,1]（gaussian_noise=0, dropout_prob=0）</x:v>
      </x:c>
      <x:c r="F138" s="4" t="str">
        <x:v>レイ始点から0 mの交点相当</x:v>
      </x:c>
      <x:c r="G138" s="4" t="str">
        <x:v>検出交点まで25 m</x:v>
      </x:c>
      <x:c r="H138" s="4" t="str">
        <x:v>未検出・50 m終端・検査対象外</x:v>
      </x:c>
      <x:c r="I138" s="4" t="str">
        <x:v>ビーム番号117; 相対角175.5°。実装レイ終点はθ+2πk/240。右手XYでは角度増加は左回り。旧コメントclockwiseと不一致。dは車両中心XYから対象表面までで、車体前端からの車間距離ではない。</x:v>
      </x:c>
      <x:c r="J138" s="4" t="str">
        <x:v>S01;S07;S08;S09;S10;S13;S17</x:v>
      </x:c>
      <x:c r="K138" s="4" t="str">
        <x:v>https://raw.githubusercontent.com/metadriverse/metadrive/85e5dadc6c7436d324348f6e3d8f8e680c06b4db/metadrive/obs/state_obs.py</x:v>
      </x:c>
    </x:row>
    <x:row r="139" ht="92" customHeight="1">
      <x:c r="A139" s="14" t="n">
        <x:v>137</x:v>
      </x:c>
      <x:c r="B139" s="4" t="str">
        <x:v>LiDARビーム118：車体前方から実装角度+177°（後）</x:v>
      </x:c>
      <x:c r="C139" s="4" t="str">
        <x:v>m</x:v>
      </x:c>
      <x:c r="D139" s="4" t="str">
        <x:v>検出時:d/50（レイHitFraction）; 未検出・検査対象外:1</x:v>
      </x:c>
      <x:c r="E139" s="4" t="str">
        <x:v>[0,1]（gaussian_noise=0, dropout_prob=0）</x:v>
      </x:c>
      <x:c r="F139" s="4" t="str">
        <x:v>レイ始点から0 mの交点相当</x:v>
      </x:c>
      <x:c r="G139" s="4" t="str">
        <x:v>検出交点まで25 m</x:v>
      </x:c>
      <x:c r="H139" s="4" t="str">
        <x:v>未検出・50 m終端・検査対象外</x:v>
      </x:c>
      <x:c r="I139" s="4" t="str">
        <x:v>ビーム番号118; 相対角177°。実装レイ終点はθ+2πk/240。右手XYでは角度増加は左回り。旧コメントclockwiseと不一致。dは車両中心XYから対象表面までで、車体前端からの車間距離ではない。</x:v>
      </x:c>
      <x:c r="J139" s="4" t="str">
        <x:v>S01;S07;S08;S09;S10;S13;S17</x:v>
      </x:c>
      <x:c r="K139" s="4" t="str">
        <x:v>https://raw.githubusercontent.com/metadriverse/metadrive/85e5dadc6c7436d324348f6e3d8f8e680c06b4db/metadrive/obs/state_obs.py</x:v>
      </x:c>
    </x:row>
    <x:row r="140" ht="92" customHeight="1">
      <x:c r="A140" s="14" t="n">
        <x:v>138</x:v>
      </x:c>
      <x:c r="B140" s="4" t="str">
        <x:v>LiDARビーム119：車体前方から実装角度+178.5°（後）</x:v>
      </x:c>
      <x:c r="C140" s="4" t="str">
        <x:v>m</x:v>
      </x:c>
      <x:c r="D140" s="4" t="str">
        <x:v>検出時:d/50（レイHitFraction）; 未検出・検査対象外:1</x:v>
      </x:c>
      <x:c r="E140" s="4" t="str">
        <x:v>[0,1]（gaussian_noise=0, dropout_prob=0）</x:v>
      </x:c>
      <x:c r="F140" s="4" t="str">
        <x:v>レイ始点から0 mの交点相当</x:v>
      </x:c>
      <x:c r="G140" s="4" t="str">
        <x:v>検出交点まで25 m</x:v>
      </x:c>
      <x:c r="H140" s="4" t="str">
        <x:v>未検出・50 m終端・検査対象外</x:v>
      </x:c>
      <x:c r="I140" s="4" t="str">
        <x:v>ビーム番号119; 相対角178.5°。実装レイ終点はθ+2πk/240。右手XYでは角度増加は左回り。旧コメントclockwiseと不一致。dは車両中心XYから対象表面までで、車体前端からの車間距離ではない。</x:v>
      </x:c>
      <x:c r="J140" s="4" t="str">
        <x:v>S01;S07;S08;S09;S10;S13;S17</x:v>
      </x:c>
      <x:c r="K140" s="4" t="str">
        <x:v>https://raw.githubusercontent.com/metadriverse/metadrive/85e5dadc6c7436d324348f6e3d8f8e680c06b4db/metadrive/obs/state_obs.py</x:v>
      </x:c>
    </x:row>
    <x:row r="141" ht="92" customHeight="1">
      <x:c r="A141" s="14" t="n">
        <x:v>139</x:v>
      </x:c>
      <x:c r="B141" s="4" t="str">
        <x:v>LiDARビーム120：車体前方から実装角度+180°（後）</x:v>
      </x:c>
      <x:c r="C141" s="4" t="str">
        <x:v>m</x:v>
      </x:c>
      <x:c r="D141" s="4" t="str">
        <x:v>検出時:d/50（レイHitFraction）; 未検出・検査対象外:1</x:v>
      </x:c>
      <x:c r="E141" s="4" t="str">
        <x:v>[0,1]（gaussian_noise=0, dropout_prob=0）</x:v>
      </x:c>
      <x:c r="F141" s="4" t="str">
        <x:v>レイ始点から0 mの交点相当</x:v>
      </x:c>
      <x:c r="G141" s="4" t="str">
        <x:v>検出交点まで25 m</x:v>
      </x:c>
      <x:c r="H141" s="4" t="str">
        <x:v>未検出・50 m終端・検査対象外</x:v>
      </x:c>
      <x:c r="I141" s="4" t="str">
        <x:v>ビーム番号120; 相対角180°。実装レイ終点はθ+2πk/240。右手XYでは角度増加は左回り。旧コメントclockwiseと不一致。dは車両中心XYから対象表面までで、車体前端からの車間距離ではない。</x:v>
      </x:c>
      <x:c r="J141" s="4" t="str">
        <x:v>S01;S07;S08;S09;S10;S13;S17</x:v>
      </x:c>
      <x:c r="K141" s="4" t="str">
        <x:v>https://raw.githubusercontent.com/metadriverse/metadrive/85e5dadc6c7436d324348f6e3d8f8e680c06b4db/metadrive/obs/state_obs.py</x:v>
      </x:c>
    </x:row>
    <x:row r="142" ht="92" customHeight="1">
      <x:c r="A142" s="14" t="n">
        <x:v>140</x:v>
      </x:c>
      <x:c r="B142" s="4" t="str">
        <x:v>LiDARビーム121：車体前方から実装角度+181.5°（後）</x:v>
      </x:c>
      <x:c r="C142" s="4" t="str">
        <x:v>m</x:v>
      </x:c>
      <x:c r="D142" s="4" t="str">
        <x:v>検出時:d/50（レイHitFraction）; 未検出・検査対象外:1</x:v>
      </x:c>
      <x:c r="E142" s="4" t="str">
        <x:v>[0,1]（gaussian_noise=0, dropout_prob=0）</x:v>
      </x:c>
      <x:c r="F142" s="4" t="str">
        <x:v>レイ始点から0 mの交点相当</x:v>
      </x:c>
      <x:c r="G142" s="4" t="str">
        <x:v>検出交点まで25 m</x:v>
      </x:c>
      <x:c r="H142" s="4" t="str">
        <x:v>未検出・50 m終端・検査対象外</x:v>
      </x:c>
      <x:c r="I142" s="4" t="str">
        <x:v>ビーム番号121; 相対角181.5°。実装レイ終点はθ+2πk/240。右手XYでは角度増加は左回り。旧コメントclockwiseと不一致。dは車両中心XYから対象表面までで、車体前端からの車間距離ではない。</x:v>
      </x:c>
      <x:c r="J142" s="4" t="str">
        <x:v>S01;S07;S08;S09;S10;S13;S17</x:v>
      </x:c>
      <x:c r="K142" s="4" t="str">
        <x:v>https://raw.githubusercontent.com/metadriverse/metadrive/85e5dadc6c7436d324348f6e3d8f8e680c06b4db/metadrive/obs/state_obs.py</x:v>
      </x:c>
    </x:row>
    <x:row r="143" ht="92" customHeight="1">
      <x:c r="A143" s="14" t="n">
        <x:v>141</x:v>
      </x:c>
      <x:c r="B143" s="4" t="str">
        <x:v>LiDARビーム122：車体前方から実装角度+183°（後）</x:v>
      </x:c>
      <x:c r="C143" s="4" t="str">
        <x:v>m</x:v>
      </x:c>
      <x:c r="D143" s="4" t="str">
        <x:v>検出時:d/50（レイHitFraction）; 未検出・検査対象外:1</x:v>
      </x:c>
      <x:c r="E143" s="4" t="str">
        <x:v>[0,1]（gaussian_noise=0, dropout_prob=0）</x:v>
      </x:c>
      <x:c r="F143" s="4" t="str">
        <x:v>レイ始点から0 mの交点相当</x:v>
      </x:c>
      <x:c r="G143" s="4" t="str">
        <x:v>検出交点まで25 m</x:v>
      </x:c>
      <x:c r="H143" s="4" t="str">
        <x:v>未検出・50 m終端・検査対象外</x:v>
      </x:c>
      <x:c r="I143" s="4" t="str">
        <x:v>ビーム番号122; 相対角183°。実装レイ終点はθ+2πk/240。右手XYでは角度増加は左回り。旧コメントclockwiseと不一致。dは車両中心XYから対象表面までで、車体前端からの車間距離ではない。</x:v>
      </x:c>
      <x:c r="J143" s="4" t="str">
        <x:v>S01;S07;S08;S09;S10;S13;S17</x:v>
      </x:c>
      <x:c r="K143" s="4" t="str">
        <x:v>https://raw.githubusercontent.com/metadriverse/metadrive/85e5dadc6c7436d324348f6e3d8f8e680c06b4db/metadrive/obs/state_obs.py</x:v>
      </x:c>
    </x:row>
    <x:row r="144" ht="92" customHeight="1">
      <x:c r="A144" s="14" t="n">
        <x:v>142</x:v>
      </x:c>
      <x:c r="B144" s="4" t="str">
        <x:v>LiDARビーム123：車体前方から実装角度+184.5°（後）</x:v>
      </x:c>
      <x:c r="C144" s="4" t="str">
        <x:v>m</x:v>
      </x:c>
      <x:c r="D144" s="4" t="str">
        <x:v>検出時:d/50（レイHitFraction）; 未検出・検査対象外:1</x:v>
      </x:c>
      <x:c r="E144" s="4" t="str">
        <x:v>[0,1]（gaussian_noise=0, dropout_prob=0）</x:v>
      </x:c>
      <x:c r="F144" s="4" t="str">
        <x:v>レイ始点から0 mの交点相当</x:v>
      </x:c>
      <x:c r="G144" s="4" t="str">
        <x:v>検出交点まで25 m</x:v>
      </x:c>
      <x:c r="H144" s="4" t="str">
        <x:v>未検出・50 m終端・検査対象外</x:v>
      </x:c>
      <x:c r="I144" s="4" t="str">
        <x:v>ビーム番号123; 相対角184.5°。実装レイ終点はθ+2πk/240。右手XYでは角度増加は左回り。旧コメントclockwiseと不一致。dは車両中心XYから対象表面までで、車体前端からの車間距離ではない。</x:v>
      </x:c>
      <x:c r="J144" s="4" t="str">
        <x:v>S01;S07;S08;S09;S10;S13;S17</x:v>
      </x:c>
      <x:c r="K144" s="4" t="str">
        <x:v>https://raw.githubusercontent.com/metadriverse/metadrive/85e5dadc6c7436d324348f6e3d8f8e680c06b4db/metadrive/obs/state_obs.py</x:v>
      </x:c>
    </x:row>
    <x:row r="145" ht="92" customHeight="1">
      <x:c r="A145" s="14" t="n">
        <x:v>143</x:v>
      </x:c>
      <x:c r="B145" s="4" t="str">
        <x:v>LiDARビーム124：車体前方から実装角度+186°（後）</x:v>
      </x:c>
      <x:c r="C145" s="4" t="str">
        <x:v>m</x:v>
      </x:c>
      <x:c r="D145" s="4" t="str">
        <x:v>検出時:d/50（レイHitFraction）; 未検出・検査対象外:1</x:v>
      </x:c>
      <x:c r="E145" s="4" t="str">
        <x:v>[0,1]（gaussian_noise=0, dropout_prob=0）</x:v>
      </x:c>
      <x:c r="F145" s="4" t="str">
        <x:v>レイ始点から0 mの交点相当</x:v>
      </x:c>
      <x:c r="G145" s="4" t="str">
        <x:v>検出交点まで25 m</x:v>
      </x:c>
      <x:c r="H145" s="4" t="str">
        <x:v>未検出・50 m終端・検査対象外</x:v>
      </x:c>
      <x:c r="I145" s="4" t="str">
        <x:v>ビーム番号124; 相対角186°。実装レイ終点はθ+2πk/240。右手XYでは角度増加は左回り。旧コメントclockwiseと不一致。dは車両中心XYから対象表面までで、車体前端からの車間距離ではない。</x:v>
      </x:c>
      <x:c r="J145" s="4" t="str">
        <x:v>S01;S07;S08;S09;S10;S13;S17</x:v>
      </x:c>
      <x:c r="K145" s="4" t="str">
        <x:v>https://raw.githubusercontent.com/metadriverse/metadrive/85e5dadc6c7436d324348f6e3d8f8e680c06b4db/metadrive/obs/state_obs.py</x:v>
      </x:c>
    </x:row>
    <x:row r="146" ht="92" customHeight="1">
      <x:c r="A146" s="14" t="n">
        <x:v>144</x:v>
      </x:c>
      <x:c r="B146" s="4" t="str">
        <x:v>LiDARビーム125：車体前方から実装角度+187.5°（後）</x:v>
      </x:c>
      <x:c r="C146" s="4" t="str">
        <x:v>m</x:v>
      </x:c>
      <x:c r="D146" s="4" t="str">
        <x:v>検出時:d/50（レイHitFraction）; 未検出・検査対象外:1</x:v>
      </x:c>
      <x:c r="E146" s="4" t="str">
        <x:v>[0,1]（gaussian_noise=0, dropout_prob=0）</x:v>
      </x:c>
      <x:c r="F146" s="4" t="str">
        <x:v>レイ始点から0 mの交点相当</x:v>
      </x:c>
      <x:c r="G146" s="4" t="str">
        <x:v>検出交点まで25 m</x:v>
      </x:c>
      <x:c r="H146" s="4" t="str">
        <x:v>未検出・50 m終端・検査対象外</x:v>
      </x:c>
      <x:c r="I146" s="4" t="str">
        <x:v>ビーム番号125; 相対角187.5°。実装レイ終点はθ+2πk/240。右手XYでは角度増加は左回り。旧コメントclockwiseと不一致。dは車両中心XYから対象表面までで、車体前端からの車間距離ではない。</x:v>
      </x:c>
      <x:c r="J146" s="4" t="str">
        <x:v>S01;S07;S08;S09;S10;S13;S17</x:v>
      </x:c>
      <x:c r="K146" s="4" t="str">
        <x:v>https://raw.githubusercontent.com/metadriverse/metadrive/85e5dadc6c7436d324348f6e3d8f8e680c06b4db/metadrive/obs/state_obs.py</x:v>
      </x:c>
    </x:row>
    <x:row r="147" ht="92" customHeight="1">
      <x:c r="A147" s="14" t="n">
        <x:v>145</x:v>
      </x:c>
      <x:c r="B147" s="4" t="str">
        <x:v>LiDARビーム126：車体前方から実装角度+189°（後）</x:v>
      </x:c>
      <x:c r="C147" s="4" t="str">
        <x:v>m</x:v>
      </x:c>
      <x:c r="D147" s="4" t="str">
        <x:v>検出時:d/50（レイHitFraction）; 未検出・検査対象外:1</x:v>
      </x:c>
      <x:c r="E147" s="4" t="str">
        <x:v>[0,1]（gaussian_noise=0, dropout_prob=0）</x:v>
      </x:c>
      <x:c r="F147" s="4" t="str">
        <x:v>レイ始点から0 mの交点相当</x:v>
      </x:c>
      <x:c r="G147" s="4" t="str">
        <x:v>検出交点まで25 m</x:v>
      </x:c>
      <x:c r="H147" s="4" t="str">
        <x:v>未検出・50 m終端・検査対象外</x:v>
      </x:c>
      <x:c r="I147" s="4" t="str">
        <x:v>ビーム番号126; 相対角189°。実装レイ終点はθ+2πk/240。右手XYでは角度増加は左回り。旧コメントclockwiseと不一致。dは車両中心XYから対象表面までで、車体前端からの車間距離ではない。</x:v>
      </x:c>
      <x:c r="J147" s="4" t="str">
        <x:v>S01;S07;S08;S09;S10;S13;S17</x:v>
      </x:c>
      <x:c r="K147" s="4" t="str">
        <x:v>https://raw.githubusercontent.com/metadriverse/metadrive/85e5dadc6c7436d324348f6e3d8f8e680c06b4db/metadrive/obs/state_obs.py</x:v>
      </x:c>
    </x:row>
    <x:row r="148" ht="92" customHeight="1">
      <x:c r="A148" s="14" t="n">
        <x:v>146</x:v>
      </x:c>
      <x:c r="B148" s="4" t="str">
        <x:v>LiDARビーム127：車体前方から実装角度+190.5°（後）</x:v>
      </x:c>
      <x:c r="C148" s="4" t="str">
        <x:v>m</x:v>
      </x:c>
      <x:c r="D148" s="4" t="str">
        <x:v>検出時:d/50（レイHitFraction）; 未検出・検査対象外:1</x:v>
      </x:c>
      <x:c r="E148" s="4" t="str">
        <x:v>[0,1]（gaussian_noise=0, dropout_prob=0）</x:v>
      </x:c>
      <x:c r="F148" s="4" t="str">
        <x:v>レイ始点から0 mの交点相当</x:v>
      </x:c>
      <x:c r="G148" s="4" t="str">
        <x:v>検出交点まで25 m</x:v>
      </x:c>
      <x:c r="H148" s="4" t="str">
        <x:v>未検出・50 m終端・検査対象外</x:v>
      </x:c>
      <x:c r="I148" s="4" t="str">
        <x:v>ビーム番号127; 相対角190.5°。実装レイ終点はθ+2πk/240。右手XYでは角度増加は左回り。旧コメントclockwiseと不一致。dは車両中心XYから対象表面までで、車体前端からの車間距離ではない。</x:v>
      </x:c>
      <x:c r="J148" s="4" t="str">
        <x:v>S01;S07;S08;S09;S10;S13;S17</x:v>
      </x:c>
      <x:c r="K148" s="4" t="str">
        <x:v>https://raw.githubusercontent.com/metadriverse/metadrive/85e5dadc6c7436d324348f6e3d8f8e680c06b4db/metadrive/obs/state_obs.py</x:v>
      </x:c>
    </x:row>
    <x:row r="149" ht="92" customHeight="1">
      <x:c r="A149" s="14" t="n">
        <x:v>147</x:v>
      </x:c>
      <x:c r="B149" s="4" t="str">
        <x:v>LiDARビーム128：車体前方から実装角度+192°（後）</x:v>
      </x:c>
      <x:c r="C149" s="4" t="str">
        <x:v>m</x:v>
      </x:c>
      <x:c r="D149" s="4" t="str">
        <x:v>検出時:d/50（レイHitFraction）; 未検出・検査対象外:1</x:v>
      </x:c>
      <x:c r="E149" s="4" t="str">
        <x:v>[0,1]（gaussian_noise=0, dropout_prob=0）</x:v>
      </x:c>
      <x:c r="F149" s="4" t="str">
        <x:v>レイ始点から0 mの交点相当</x:v>
      </x:c>
      <x:c r="G149" s="4" t="str">
        <x:v>検出交点まで25 m</x:v>
      </x:c>
      <x:c r="H149" s="4" t="str">
        <x:v>未検出・50 m終端・検査対象外</x:v>
      </x:c>
      <x:c r="I149" s="4" t="str">
        <x:v>ビーム番号128; 相対角192°。実装レイ終点はθ+2πk/240。右手XYでは角度増加は左回り。旧コメントclockwiseと不一致。dは車両中心XYから対象表面までで、車体前端からの車間距離ではない。</x:v>
      </x:c>
      <x:c r="J149" s="4" t="str">
        <x:v>S01;S07;S08;S09;S10;S13;S17</x:v>
      </x:c>
      <x:c r="K149" s="4" t="str">
        <x:v>https://raw.githubusercontent.com/metadriverse/metadrive/85e5dadc6c7436d324348f6e3d8f8e680c06b4db/metadrive/obs/state_obs.py</x:v>
      </x:c>
    </x:row>
    <x:row r="150" ht="92" customHeight="1">
      <x:c r="A150" s="14" t="n">
        <x:v>148</x:v>
      </x:c>
      <x:c r="B150" s="4" t="str">
        <x:v>LiDARビーム129：車体前方から実装角度+193.5°（後）</x:v>
      </x:c>
      <x:c r="C150" s="4" t="str">
        <x:v>m</x:v>
      </x:c>
      <x:c r="D150" s="4" t="str">
        <x:v>検出時:d/50（レイHitFraction）; 未検出・検査対象外:1</x:v>
      </x:c>
      <x:c r="E150" s="4" t="str">
        <x:v>[0,1]（gaussian_noise=0, dropout_prob=0）</x:v>
      </x:c>
      <x:c r="F150" s="4" t="str">
        <x:v>レイ始点から0 mの交点相当</x:v>
      </x:c>
      <x:c r="G150" s="4" t="str">
        <x:v>検出交点まで25 m</x:v>
      </x:c>
      <x:c r="H150" s="4" t="str">
        <x:v>未検出・50 m終端・検査対象外</x:v>
      </x:c>
      <x:c r="I150" s="4" t="str">
        <x:v>ビーム番号129; 相対角193.5°。実装レイ終点はθ+2πk/240。右手XYでは角度増加は左回り。旧コメントclockwiseと不一致。dは車両中心XYから対象表面までで、車体前端からの車間距離ではない。</x:v>
      </x:c>
      <x:c r="J150" s="4" t="str">
        <x:v>S01;S07;S08;S09;S10;S13;S17</x:v>
      </x:c>
      <x:c r="K150" s="4" t="str">
        <x:v>https://raw.githubusercontent.com/metadriverse/metadrive/85e5dadc6c7436d324348f6e3d8f8e680c06b4db/metadrive/obs/state_obs.py</x:v>
      </x:c>
    </x:row>
    <x:row r="151" ht="92" customHeight="1">
      <x:c r="A151" s="14" t="n">
        <x:v>149</x:v>
      </x:c>
      <x:c r="B151" s="4" t="str">
        <x:v>LiDARビーム130：車体前方から実装角度+195°（後）</x:v>
      </x:c>
      <x:c r="C151" s="4" t="str">
        <x:v>m</x:v>
      </x:c>
      <x:c r="D151" s="4" t="str">
        <x:v>検出時:d/50（レイHitFraction）; 未検出・検査対象外:1</x:v>
      </x:c>
      <x:c r="E151" s="4" t="str">
        <x:v>[0,1]（gaussian_noise=0, dropout_prob=0）</x:v>
      </x:c>
      <x:c r="F151" s="4" t="str">
        <x:v>レイ始点から0 mの交点相当</x:v>
      </x:c>
      <x:c r="G151" s="4" t="str">
        <x:v>検出交点まで25 m</x:v>
      </x:c>
      <x:c r="H151" s="4" t="str">
        <x:v>未検出・50 m終端・検査対象外</x:v>
      </x:c>
      <x:c r="I151" s="4" t="str">
        <x:v>ビーム番号130; 相対角195°。実装レイ終点はθ+2πk/240。右手XYでは角度増加は左回り。旧コメントclockwiseと不一致。dは車両中心XYから対象表面までで、車体前端からの車間距離ではない。</x:v>
      </x:c>
      <x:c r="J151" s="4" t="str">
        <x:v>S01;S07;S08;S09;S10;S13;S17</x:v>
      </x:c>
      <x:c r="K151" s="4" t="str">
        <x:v>https://raw.githubusercontent.com/metadriverse/metadrive/85e5dadc6c7436d324348f6e3d8f8e680c06b4db/metadrive/obs/state_obs.py</x:v>
      </x:c>
    </x:row>
    <x:row r="152" ht="92" customHeight="1">
      <x:c r="A152" s="14" t="n">
        <x:v>150</x:v>
      </x:c>
      <x:c r="B152" s="4" t="str">
        <x:v>LiDARビーム131：車体前方から実装角度+196.5°（後）</x:v>
      </x:c>
      <x:c r="C152" s="4" t="str">
        <x:v>m</x:v>
      </x:c>
      <x:c r="D152" s="4" t="str">
        <x:v>検出時:d/50（レイHitFraction）; 未検出・検査対象外:1</x:v>
      </x:c>
      <x:c r="E152" s="4" t="str">
        <x:v>[0,1]（gaussian_noise=0, dropout_prob=0）</x:v>
      </x:c>
      <x:c r="F152" s="4" t="str">
        <x:v>レイ始点から0 mの交点相当</x:v>
      </x:c>
      <x:c r="G152" s="4" t="str">
        <x:v>検出交点まで25 m</x:v>
      </x:c>
      <x:c r="H152" s="4" t="str">
        <x:v>未検出・50 m終端・検査対象外</x:v>
      </x:c>
      <x:c r="I152" s="4" t="str">
        <x:v>ビーム番号131; 相対角196.5°。実装レイ終点はθ+2πk/240。右手XYでは角度増加は左回り。旧コメントclockwiseと不一致。dは車両中心XYから対象表面までで、車体前端からの車間距離ではない。</x:v>
      </x:c>
      <x:c r="J152" s="4" t="str">
        <x:v>S01;S07;S08;S09;S10;S13;S17</x:v>
      </x:c>
      <x:c r="K152" s="4" t="str">
        <x:v>https://raw.githubusercontent.com/metadriverse/metadrive/85e5dadc6c7436d324348f6e3d8f8e680c06b4db/metadrive/obs/state_obs.py</x:v>
      </x:c>
    </x:row>
    <x:row r="153" ht="92" customHeight="1">
      <x:c r="A153" s="14" t="n">
        <x:v>151</x:v>
      </x:c>
      <x:c r="B153" s="4" t="str">
        <x:v>LiDARビーム132：車体前方から実装角度+198°（後）</x:v>
      </x:c>
      <x:c r="C153" s="4" t="str">
        <x:v>m</x:v>
      </x:c>
      <x:c r="D153" s="4" t="str">
        <x:v>検出時:d/50（レイHitFraction）; 未検出・検査対象外:1</x:v>
      </x:c>
      <x:c r="E153" s="4" t="str">
        <x:v>[0,1]（gaussian_noise=0, dropout_prob=0）</x:v>
      </x:c>
      <x:c r="F153" s="4" t="str">
        <x:v>レイ始点から0 mの交点相当</x:v>
      </x:c>
      <x:c r="G153" s="4" t="str">
        <x:v>検出交点まで25 m</x:v>
      </x:c>
      <x:c r="H153" s="4" t="str">
        <x:v>未検出・50 m終端・検査対象外</x:v>
      </x:c>
      <x:c r="I153" s="4" t="str">
        <x:v>ビーム番号132; 相対角198°。実装レイ終点はθ+2πk/240。右手XYでは角度増加は左回り。旧コメントclockwiseと不一致。dは車両中心XYから対象表面までで、車体前端からの車間距離ではない。</x:v>
      </x:c>
      <x:c r="J153" s="4" t="str">
        <x:v>S01;S07;S08;S09;S10;S13;S17</x:v>
      </x:c>
      <x:c r="K153" s="4" t="str">
        <x:v>https://raw.githubusercontent.com/metadriverse/metadrive/85e5dadc6c7436d324348f6e3d8f8e680c06b4db/metadrive/obs/state_obs.py</x:v>
      </x:c>
    </x:row>
    <x:row r="154" ht="92" customHeight="1">
      <x:c r="A154" s="14" t="n">
        <x:v>152</x:v>
      </x:c>
      <x:c r="B154" s="4" t="str">
        <x:v>LiDARビーム133：車体前方から実装角度+199.5°（後）</x:v>
      </x:c>
      <x:c r="C154" s="4" t="str">
        <x:v>m</x:v>
      </x:c>
      <x:c r="D154" s="4" t="str">
        <x:v>検出時:d/50（レイHitFraction）; 未検出・検査対象外:1</x:v>
      </x:c>
      <x:c r="E154" s="4" t="str">
        <x:v>[0,1]（gaussian_noise=0, dropout_prob=0）</x:v>
      </x:c>
      <x:c r="F154" s="4" t="str">
        <x:v>レイ始点から0 mの交点相当</x:v>
      </x:c>
      <x:c r="G154" s="4" t="str">
        <x:v>検出交点まで25 m</x:v>
      </x:c>
      <x:c r="H154" s="4" t="str">
        <x:v>未検出・50 m終端・検査対象外</x:v>
      </x:c>
      <x:c r="I154" s="4" t="str">
        <x:v>ビーム番号133; 相対角199.5°。実装レイ終点はθ+2πk/240。右手XYでは角度増加は左回り。旧コメントclockwiseと不一致。dは車両中心XYから対象表面までで、車体前端からの車間距離ではない。</x:v>
      </x:c>
      <x:c r="J154" s="4" t="str">
        <x:v>S01;S07;S08;S09;S10;S13;S17</x:v>
      </x:c>
      <x:c r="K154" s="4" t="str">
        <x:v>https://raw.githubusercontent.com/metadriverse/metadrive/85e5dadc6c7436d324348f6e3d8f8e680c06b4db/metadrive/obs/state_obs.py</x:v>
      </x:c>
    </x:row>
    <x:row r="155" ht="92" customHeight="1">
      <x:c r="A155" s="14" t="n">
        <x:v>153</x:v>
      </x:c>
      <x:c r="B155" s="4" t="str">
        <x:v>LiDARビーム134：車体前方から実装角度+201°（後）</x:v>
      </x:c>
      <x:c r="C155" s="4" t="str">
        <x:v>m</x:v>
      </x:c>
      <x:c r="D155" s="4" t="str">
        <x:v>検出時:d/50（レイHitFraction）; 未検出・検査対象外:1</x:v>
      </x:c>
      <x:c r="E155" s="4" t="str">
        <x:v>[0,1]（gaussian_noise=0, dropout_prob=0）</x:v>
      </x:c>
      <x:c r="F155" s="4" t="str">
        <x:v>レイ始点から0 mの交点相当</x:v>
      </x:c>
      <x:c r="G155" s="4" t="str">
        <x:v>検出交点まで25 m</x:v>
      </x:c>
      <x:c r="H155" s="4" t="str">
        <x:v>未検出・50 m終端・検査対象外</x:v>
      </x:c>
      <x:c r="I155" s="4" t="str">
        <x:v>ビーム番号134; 相対角201°。実装レイ終点はθ+2πk/240。右手XYでは角度増加は左回り。旧コメントclockwiseと不一致。dは車両中心XYから対象表面までで、車体前端からの車間距離ではない。</x:v>
      </x:c>
      <x:c r="J155" s="4" t="str">
        <x:v>S01;S07;S08;S09;S10;S13;S17</x:v>
      </x:c>
      <x:c r="K155" s="4" t="str">
        <x:v>https://raw.githubusercontent.com/metadriverse/metadrive/85e5dadc6c7436d324348f6e3d8f8e680c06b4db/metadrive/obs/state_obs.py</x:v>
      </x:c>
    </x:row>
    <x:row r="156" ht="92" customHeight="1">
      <x:c r="A156" s="14" t="n">
        <x:v>154</x:v>
      </x:c>
      <x:c r="B156" s="4" t="str">
        <x:v>LiDARビーム135：車体前方から実装角度+202.5°（後）</x:v>
      </x:c>
      <x:c r="C156" s="4" t="str">
        <x:v>m</x:v>
      </x:c>
      <x:c r="D156" s="4" t="str">
        <x:v>検出時:d/50（レイHitFraction）; 未検出・検査対象外:1</x:v>
      </x:c>
      <x:c r="E156" s="4" t="str">
        <x:v>[0,1]（gaussian_noise=0, dropout_prob=0）</x:v>
      </x:c>
      <x:c r="F156" s="4" t="str">
        <x:v>レイ始点から0 mの交点相当</x:v>
      </x:c>
      <x:c r="G156" s="4" t="str">
        <x:v>検出交点まで25 m</x:v>
      </x:c>
      <x:c r="H156" s="4" t="str">
        <x:v>未検出・50 m終端・検査対象外</x:v>
      </x:c>
      <x:c r="I156" s="4" t="str">
        <x:v>ビーム番号135; 相対角202.5°。実装レイ終点はθ+2πk/240。右手XYでは角度増加は左回り。旧コメントclockwiseと不一致。dは車両中心XYから対象表面までで、車体前端からの車間距離ではない。</x:v>
      </x:c>
      <x:c r="J156" s="4" t="str">
        <x:v>S01;S07;S08;S09;S10;S13;S17</x:v>
      </x:c>
      <x:c r="K156" s="4" t="str">
        <x:v>https://raw.githubusercontent.com/metadriverse/metadrive/85e5dadc6c7436d324348f6e3d8f8e680c06b4db/metadrive/obs/state_obs.py</x:v>
      </x:c>
    </x:row>
    <x:row r="157" ht="92" customHeight="1">
      <x:c r="A157" s="14" t="n">
        <x:v>155</x:v>
      </x:c>
      <x:c r="B157" s="4" t="str">
        <x:v>LiDARビーム136：車体前方から実装角度+204°（後）</x:v>
      </x:c>
      <x:c r="C157" s="4" t="str">
        <x:v>m</x:v>
      </x:c>
      <x:c r="D157" s="4" t="str">
        <x:v>検出時:d/50（レイHitFraction）; 未検出・検査対象外:1</x:v>
      </x:c>
      <x:c r="E157" s="4" t="str">
        <x:v>[0,1]（gaussian_noise=0, dropout_prob=0）</x:v>
      </x:c>
      <x:c r="F157" s="4" t="str">
        <x:v>レイ始点から0 mの交点相当</x:v>
      </x:c>
      <x:c r="G157" s="4" t="str">
        <x:v>検出交点まで25 m</x:v>
      </x:c>
      <x:c r="H157" s="4" t="str">
        <x:v>未検出・50 m終端・検査対象外</x:v>
      </x:c>
      <x:c r="I157" s="4" t="str">
        <x:v>ビーム番号136; 相対角204°。実装レイ終点はθ+2πk/240。右手XYでは角度増加は左回り。旧コメントclockwiseと不一致。dは車両中心XYから対象表面までで、車体前端からの車間距離ではない。</x:v>
      </x:c>
      <x:c r="J157" s="4" t="str">
        <x:v>S01;S07;S08;S09;S10;S13;S17</x:v>
      </x:c>
      <x:c r="K157" s="4" t="str">
        <x:v>https://raw.githubusercontent.com/metadriverse/metadrive/85e5dadc6c7436d324348f6e3d8f8e680c06b4db/metadrive/obs/state_obs.py</x:v>
      </x:c>
    </x:row>
    <x:row r="158" ht="92" customHeight="1">
      <x:c r="A158" s="14" t="n">
        <x:v>156</x:v>
      </x:c>
      <x:c r="B158" s="4" t="str">
        <x:v>LiDARビーム137：車体前方から実装角度+205.5°（後）</x:v>
      </x:c>
      <x:c r="C158" s="4" t="str">
        <x:v>m</x:v>
      </x:c>
      <x:c r="D158" s="4" t="str">
        <x:v>検出時:d/50（レイHitFraction）; 未検出・検査対象外:1</x:v>
      </x:c>
      <x:c r="E158" s="4" t="str">
        <x:v>[0,1]（gaussian_noise=0, dropout_prob=0）</x:v>
      </x:c>
      <x:c r="F158" s="4" t="str">
        <x:v>レイ始点から0 mの交点相当</x:v>
      </x:c>
      <x:c r="G158" s="4" t="str">
        <x:v>検出交点まで25 m</x:v>
      </x:c>
      <x:c r="H158" s="4" t="str">
        <x:v>未検出・50 m終端・検査対象外</x:v>
      </x:c>
      <x:c r="I158" s="4" t="str">
        <x:v>ビーム番号137; 相対角205.5°。実装レイ終点はθ+2πk/240。右手XYでは角度増加は左回り。旧コメントclockwiseと不一致。dは車両中心XYから対象表面までで、車体前端からの車間距離ではない。</x:v>
      </x:c>
      <x:c r="J158" s="4" t="str">
        <x:v>S01;S07;S08;S09;S10;S13;S17</x:v>
      </x:c>
      <x:c r="K158" s="4" t="str">
        <x:v>https://raw.githubusercontent.com/metadriverse/metadrive/85e5dadc6c7436d324348f6e3d8f8e680c06b4db/metadrive/obs/state_obs.py</x:v>
      </x:c>
    </x:row>
    <x:row r="159" ht="92" customHeight="1">
      <x:c r="A159" s="14" t="n">
        <x:v>157</x:v>
      </x:c>
      <x:c r="B159" s="4" t="str">
        <x:v>LiDARビーム138：車体前方から実装角度+207°（後）</x:v>
      </x:c>
      <x:c r="C159" s="4" t="str">
        <x:v>m</x:v>
      </x:c>
      <x:c r="D159" s="4" t="str">
        <x:v>検出時:d/50（レイHitFraction）; 未検出・検査対象外:1</x:v>
      </x:c>
      <x:c r="E159" s="4" t="str">
        <x:v>[0,1]（gaussian_noise=0, dropout_prob=0）</x:v>
      </x:c>
      <x:c r="F159" s="4" t="str">
        <x:v>レイ始点から0 mの交点相当</x:v>
      </x:c>
      <x:c r="G159" s="4" t="str">
        <x:v>検出交点まで25 m</x:v>
      </x:c>
      <x:c r="H159" s="4" t="str">
        <x:v>未検出・50 m終端・検査対象外</x:v>
      </x:c>
      <x:c r="I159" s="4" t="str">
        <x:v>ビーム番号138; 相対角207°。実装レイ終点はθ+2πk/240。右手XYでは角度増加は左回り。旧コメントclockwiseと不一致。dは車両中心XYから対象表面までで、車体前端からの車間距離ではない。</x:v>
      </x:c>
      <x:c r="J159" s="4" t="str">
        <x:v>S01;S07;S08;S09;S10;S13;S17</x:v>
      </x:c>
      <x:c r="K159" s="4" t="str">
        <x:v>https://raw.githubusercontent.com/metadriverse/metadrive/85e5dadc6c7436d324348f6e3d8f8e680c06b4db/metadrive/obs/state_obs.py</x:v>
      </x:c>
    </x:row>
    <x:row r="160" ht="92" customHeight="1">
      <x:c r="A160" s="14" t="n">
        <x:v>158</x:v>
      </x:c>
      <x:c r="B160" s="4" t="str">
        <x:v>LiDARビーム139：車体前方から実装角度+208.5°（後）</x:v>
      </x:c>
      <x:c r="C160" s="4" t="str">
        <x:v>m</x:v>
      </x:c>
      <x:c r="D160" s="4" t="str">
        <x:v>検出時:d/50（レイHitFraction）; 未検出・検査対象外:1</x:v>
      </x:c>
      <x:c r="E160" s="4" t="str">
        <x:v>[0,1]（gaussian_noise=0, dropout_prob=0）</x:v>
      </x:c>
      <x:c r="F160" s="4" t="str">
        <x:v>レイ始点から0 mの交点相当</x:v>
      </x:c>
      <x:c r="G160" s="4" t="str">
        <x:v>検出交点まで25 m</x:v>
      </x:c>
      <x:c r="H160" s="4" t="str">
        <x:v>未検出・50 m終端・検査対象外</x:v>
      </x:c>
      <x:c r="I160" s="4" t="str">
        <x:v>ビーム番号139; 相対角208.5°。実装レイ終点はθ+2πk/240。右手XYでは角度増加は左回り。旧コメントclockwiseと不一致。dは車両中心XYから対象表面までで、車体前端からの車間距離ではない。</x:v>
      </x:c>
      <x:c r="J160" s="4" t="str">
        <x:v>S01;S07;S08;S09;S10;S13;S17</x:v>
      </x:c>
      <x:c r="K160" s="4" t="str">
        <x:v>https://raw.githubusercontent.com/metadriverse/metadrive/85e5dadc6c7436d324348f6e3d8f8e680c06b4db/metadrive/obs/state_obs.py</x:v>
      </x:c>
    </x:row>
    <x:row r="161" ht="92" customHeight="1">
      <x:c r="A161" s="14" t="n">
        <x:v>159</x:v>
      </x:c>
      <x:c r="B161" s="4" t="str">
        <x:v>LiDARビーム140：車体前方から実装角度+210°（後）</x:v>
      </x:c>
      <x:c r="C161" s="4" t="str">
        <x:v>m</x:v>
      </x:c>
      <x:c r="D161" s="4" t="str">
        <x:v>検出時:d/50（レイHitFraction）; 未検出・検査対象外:1</x:v>
      </x:c>
      <x:c r="E161" s="4" t="str">
        <x:v>[0,1]（gaussian_noise=0, dropout_prob=0）</x:v>
      </x:c>
      <x:c r="F161" s="4" t="str">
        <x:v>レイ始点から0 mの交点相当</x:v>
      </x:c>
      <x:c r="G161" s="4" t="str">
        <x:v>検出交点まで25 m</x:v>
      </x:c>
      <x:c r="H161" s="4" t="str">
        <x:v>未検出・50 m終端・検査対象外</x:v>
      </x:c>
      <x:c r="I161" s="4" t="str">
        <x:v>ビーム番号140; 相対角210°。実装レイ終点はθ+2πk/240。右手XYでは角度増加は左回り。旧コメントclockwiseと不一致。dは車両中心XYから対象表面までで、車体前端からの車間距離ではない。</x:v>
      </x:c>
      <x:c r="J161" s="4" t="str">
        <x:v>S01;S07;S08;S09;S10;S13;S17</x:v>
      </x:c>
      <x:c r="K161" s="4" t="str">
        <x:v>https://raw.githubusercontent.com/metadriverse/metadrive/85e5dadc6c7436d324348f6e3d8f8e680c06b4db/metadrive/obs/state_obs.py</x:v>
      </x:c>
    </x:row>
    <x:row r="162" ht="92" customHeight="1">
      <x:c r="A162" s="14" t="n">
        <x:v>160</x:v>
      </x:c>
      <x:c r="B162" s="4" t="str">
        <x:v>LiDARビーム141：車体前方から実装角度+211.5°（後）</x:v>
      </x:c>
      <x:c r="C162" s="4" t="str">
        <x:v>m</x:v>
      </x:c>
      <x:c r="D162" s="4" t="str">
        <x:v>検出時:d/50（レイHitFraction）; 未検出・検査対象外:1</x:v>
      </x:c>
      <x:c r="E162" s="4" t="str">
        <x:v>[0,1]（gaussian_noise=0, dropout_prob=0）</x:v>
      </x:c>
      <x:c r="F162" s="4" t="str">
        <x:v>レイ始点から0 mの交点相当</x:v>
      </x:c>
      <x:c r="G162" s="4" t="str">
        <x:v>検出交点まで25 m</x:v>
      </x:c>
      <x:c r="H162" s="4" t="str">
        <x:v>未検出・50 m終端・検査対象外</x:v>
      </x:c>
      <x:c r="I162" s="4" t="str">
        <x:v>ビーム番号141; 相対角211.5°。実装レイ終点はθ+2πk/240。右手XYでは角度増加は左回り。旧コメントclockwiseと不一致。dは車両中心XYから対象表面までで、車体前端からの車間距離ではない。</x:v>
      </x:c>
      <x:c r="J162" s="4" t="str">
        <x:v>S01;S07;S08;S09;S10;S13;S17</x:v>
      </x:c>
      <x:c r="K162" s="4" t="str">
        <x:v>https://raw.githubusercontent.com/metadriverse/metadrive/85e5dadc6c7436d324348f6e3d8f8e680c06b4db/metadrive/obs/state_obs.py</x:v>
      </x:c>
    </x:row>
    <x:row r="163" ht="92" customHeight="1">
      <x:c r="A163" s="14" t="n">
        <x:v>161</x:v>
      </x:c>
      <x:c r="B163" s="4" t="str">
        <x:v>LiDARビーム142：車体前方から実装角度+213°（後）</x:v>
      </x:c>
      <x:c r="C163" s="4" t="str">
        <x:v>m</x:v>
      </x:c>
      <x:c r="D163" s="4" t="str">
        <x:v>検出時:d/50（レイHitFraction）; 未検出・検査対象外:1</x:v>
      </x:c>
      <x:c r="E163" s="4" t="str">
        <x:v>[0,1]（gaussian_noise=0, dropout_prob=0）</x:v>
      </x:c>
      <x:c r="F163" s="4" t="str">
        <x:v>レイ始点から0 mの交点相当</x:v>
      </x:c>
      <x:c r="G163" s="4" t="str">
        <x:v>検出交点まで25 m</x:v>
      </x:c>
      <x:c r="H163" s="4" t="str">
        <x:v>未検出・50 m終端・検査対象外</x:v>
      </x:c>
      <x:c r="I163" s="4" t="str">
        <x:v>ビーム番号142; 相対角213°。実装レイ終点はθ+2πk/240。右手XYでは角度増加は左回り。旧コメントclockwiseと不一致。dは車両中心XYから対象表面までで、車体前端からの車間距離ではない。</x:v>
      </x:c>
      <x:c r="J163" s="4" t="str">
        <x:v>S01;S07;S08;S09;S10;S13;S17</x:v>
      </x:c>
      <x:c r="K163" s="4" t="str">
        <x:v>https://raw.githubusercontent.com/metadriverse/metadrive/85e5dadc6c7436d324348f6e3d8f8e680c06b4db/metadrive/obs/state_obs.py</x:v>
      </x:c>
    </x:row>
    <x:row r="164" ht="92" customHeight="1">
      <x:c r="A164" s="14" t="n">
        <x:v>162</x:v>
      </x:c>
      <x:c r="B164" s="4" t="str">
        <x:v>LiDARビーム143：車体前方から実装角度+214.5°（後）</x:v>
      </x:c>
      <x:c r="C164" s="4" t="str">
        <x:v>m</x:v>
      </x:c>
      <x:c r="D164" s="4" t="str">
        <x:v>検出時:d/50（レイHitFraction）; 未検出・検査対象外:1</x:v>
      </x:c>
      <x:c r="E164" s="4" t="str">
        <x:v>[0,1]（gaussian_noise=0, dropout_prob=0）</x:v>
      </x:c>
      <x:c r="F164" s="4" t="str">
        <x:v>レイ始点から0 mの交点相当</x:v>
      </x:c>
      <x:c r="G164" s="4" t="str">
        <x:v>検出交点まで25 m</x:v>
      </x:c>
      <x:c r="H164" s="4" t="str">
        <x:v>未検出・50 m終端・検査対象外</x:v>
      </x:c>
      <x:c r="I164" s="4" t="str">
        <x:v>ビーム番号143; 相対角214.5°。実装レイ終点はθ+2πk/240。右手XYでは角度増加は左回り。旧コメントclockwiseと不一致。dは車両中心XYから対象表面までで、車体前端からの車間距離ではない。</x:v>
      </x:c>
      <x:c r="J164" s="4" t="str">
        <x:v>S01;S07;S08;S09;S10;S13;S17</x:v>
      </x:c>
      <x:c r="K164" s="4" t="str">
        <x:v>https://raw.githubusercontent.com/metadriverse/metadrive/85e5dadc6c7436d324348f6e3d8f8e680c06b4db/metadrive/obs/state_obs.py</x:v>
      </x:c>
    </x:row>
    <x:row r="165" ht="92" customHeight="1">
      <x:c r="A165" s="14" t="n">
        <x:v>163</x:v>
      </x:c>
      <x:c r="B165" s="4" t="str">
        <x:v>LiDARビーム144：車体前方から実装角度+216°（後）</x:v>
      </x:c>
      <x:c r="C165" s="4" t="str">
        <x:v>m</x:v>
      </x:c>
      <x:c r="D165" s="4" t="str">
        <x:v>検出時:d/50（レイHitFraction）; 未検出・検査対象外:1</x:v>
      </x:c>
      <x:c r="E165" s="4" t="str">
        <x:v>[0,1]（gaussian_noise=0, dropout_prob=0）</x:v>
      </x:c>
      <x:c r="F165" s="4" t="str">
        <x:v>レイ始点から0 mの交点相当</x:v>
      </x:c>
      <x:c r="G165" s="4" t="str">
        <x:v>検出交点まで25 m</x:v>
      </x:c>
      <x:c r="H165" s="4" t="str">
        <x:v>未検出・50 m終端・検査対象外</x:v>
      </x:c>
      <x:c r="I165" s="4" t="str">
        <x:v>ビーム番号144; 相対角216°。実装レイ終点はθ+2πk/240。右手XYでは角度増加は左回り。旧コメントclockwiseと不一致。dは車両中心XYから対象表面までで、車体前端からの車間距離ではない。</x:v>
      </x:c>
      <x:c r="J165" s="4" t="str">
        <x:v>S01;S07;S08;S09;S10;S13;S17</x:v>
      </x:c>
      <x:c r="K165" s="4" t="str">
        <x:v>https://raw.githubusercontent.com/metadriverse/metadrive/85e5dadc6c7436d324348f6e3d8f8e680c06b4db/metadrive/obs/state_obs.py</x:v>
      </x:c>
    </x:row>
    <x:row r="166" ht="92" customHeight="1">
      <x:c r="A166" s="14" t="n">
        <x:v>164</x:v>
      </x:c>
      <x:c r="B166" s="4" t="str">
        <x:v>LiDARビーム145：車体前方から実装角度+217.5°（後）</x:v>
      </x:c>
      <x:c r="C166" s="4" t="str">
        <x:v>m</x:v>
      </x:c>
      <x:c r="D166" s="4" t="str">
        <x:v>検出時:d/50（レイHitFraction）; 未検出・検査対象外:1</x:v>
      </x:c>
      <x:c r="E166" s="4" t="str">
        <x:v>[0,1]（gaussian_noise=0, dropout_prob=0）</x:v>
      </x:c>
      <x:c r="F166" s="4" t="str">
        <x:v>レイ始点から0 mの交点相当</x:v>
      </x:c>
      <x:c r="G166" s="4" t="str">
        <x:v>検出交点まで25 m</x:v>
      </x:c>
      <x:c r="H166" s="4" t="str">
        <x:v>未検出・50 m終端・検査対象外</x:v>
      </x:c>
      <x:c r="I166" s="4" t="str">
        <x:v>ビーム番号145; 相対角217.5°。実装レイ終点はθ+2πk/240。右手XYでは角度増加は左回り。旧コメントclockwiseと不一致。dは車両中心XYから対象表面までで、車体前端からの車間距離ではない。</x:v>
      </x:c>
      <x:c r="J166" s="4" t="str">
        <x:v>S01;S07;S08;S09;S10;S13;S17</x:v>
      </x:c>
      <x:c r="K166" s="4" t="str">
        <x:v>https://raw.githubusercontent.com/metadriverse/metadrive/85e5dadc6c7436d324348f6e3d8f8e680c06b4db/metadrive/obs/state_obs.py</x:v>
      </x:c>
    </x:row>
    <x:row r="167" ht="92" customHeight="1">
      <x:c r="A167" s="14" t="n">
        <x:v>165</x:v>
      </x:c>
      <x:c r="B167" s="4" t="str">
        <x:v>LiDARビーム146：車体前方から実装角度+219°（後）</x:v>
      </x:c>
      <x:c r="C167" s="4" t="str">
        <x:v>m</x:v>
      </x:c>
      <x:c r="D167" s="4" t="str">
        <x:v>検出時:d/50（レイHitFraction）; 未検出・検査対象外:1</x:v>
      </x:c>
      <x:c r="E167" s="4" t="str">
        <x:v>[0,1]（gaussian_noise=0, dropout_prob=0）</x:v>
      </x:c>
      <x:c r="F167" s="4" t="str">
        <x:v>レイ始点から0 mの交点相当</x:v>
      </x:c>
      <x:c r="G167" s="4" t="str">
        <x:v>検出交点まで25 m</x:v>
      </x:c>
      <x:c r="H167" s="4" t="str">
        <x:v>未検出・50 m終端・検査対象外</x:v>
      </x:c>
      <x:c r="I167" s="4" t="str">
        <x:v>ビーム番号146; 相対角219°。実装レイ終点はθ+2πk/240。右手XYでは角度増加は左回り。旧コメントclockwiseと不一致。dは車両中心XYから対象表面までで、車体前端からの車間距離ではない。</x:v>
      </x:c>
      <x:c r="J167" s="4" t="str">
        <x:v>S01;S07;S08;S09;S10;S13;S17</x:v>
      </x:c>
      <x:c r="K167" s="4" t="str">
        <x:v>https://raw.githubusercontent.com/metadriverse/metadrive/85e5dadc6c7436d324348f6e3d8f8e680c06b4db/metadrive/obs/state_obs.py</x:v>
      </x:c>
    </x:row>
    <x:row r="168" ht="92" customHeight="1">
      <x:c r="A168" s="14" t="n">
        <x:v>166</x:v>
      </x:c>
      <x:c r="B168" s="4" t="str">
        <x:v>LiDARビーム147：車体前方から実装角度+220.5°（後）</x:v>
      </x:c>
      <x:c r="C168" s="4" t="str">
        <x:v>m</x:v>
      </x:c>
      <x:c r="D168" s="4" t="str">
        <x:v>検出時:d/50（レイHitFraction）; 未検出・検査対象外:1</x:v>
      </x:c>
      <x:c r="E168" s="4" t="str">
        <x:v>[0,1]（gaussian_noise=0, dropout_prob=0）</x:v>
      </x:c>
      <x:c r="F168" s="4" t="str">
        <x:v>レイ始点から0 mの交点相当</x:v>
      </x:c>
      <x:c r="G168" s="4" t="str">
        <x:v>検出交点まで25 m</x:v>
      </x:c>
      <x:c r="H168" s="4" t="str">
        <x:v>未検出・50 m終端・検査対象外</x:v>
      </x:c>
      <x:c r="I168" s="4" t="str">
        <x:v>ビーム番号147; 相対角220.5°。実装レイ終点はθ+2πk/240。右手XYでは角度増加は左回り。旧コメントclockwiseと不一致。dは車両中心XYから対象表面までで、車体前端からの車間距離ではない。</x:v>
      </x:c>
      <x:c r="J168" s="4" t="str">
        <x:v>S01;S07;S08;S09;S10;S13;S17</x:v>
      </x:c>
      <x:c r="K168" s="4" t="str">
        <x:v>https://raw.githubusercontent.com/metadriverse/metadrive/85e5dadc6c7436d324348f6e3d8f8e680c06b4db/metadrive/obs/state_obs.py</x:v>
      </x:c>
    </x:row>
    <x:row r="169" ht="92" customHeight="1">
      <x:c r="A169" s="14" t="n">
        <x:v>167</x:v>
      </x:c>
      <x:c r="B169" s="4" t="str">
        <x:v>LiDARビーム148：車体前方から実装角度+222°（後）</x:v>
      </x:c>
      <x:c r="C169" s="4" t="str">
        <x:v>m</x:v>
      </x:c>
      <x:c r="D169" s="4" t="str">
        <x:v>検出時:d/50（レイHitFraction）; 未検出・検査対象外:1</x:v>
      </x:c>
      <x:c r="E169" s="4" t="str">
        <x:v>[0,1]（gaussian_noise=0, dropout_prob=0）</x:v>
      </x:c>
      <x:c r="F169" s="4" t="str">
        <x:v>レイ始点から0 mの交点相当</x:v>
      </x:c>
      <x:c r="G169" s="4" t="str">
        <x:v>検出交点まで25 m</x:v>
      </x:c>
      <x:c r="H169" s="4" t="str">
        <x:v>未検出・50 m終端・検査対象外</x:v>
      </x:c>
      <x:c r="I169" s="4" t="str">
        <x:v>ビーム番号148; 相対角222°。実装レイ終点はθ+2πk/240。右手XYでは角度増加は左回り。旧コメントclockwiseと不一致。dは車両中心XYから対象表面までで、車体前端からの車間距離ではない。</x:v>
      </x:c>
      <x:c r="J169" s="4" t="str">
        <x:v>S01;S07;S08;S09;S10;S13;S17</x:v>
      </x:c>
      <x:c r="K169" s="4" t="str">
        <x:v>https://raw.githubusercontent.com/metadriverse/metadrive/85e5dadc6c7436d324348f6e3d8f8e680c06b4db/metadrive/obs/state_obs.py</x:v>
      </x:c>
    </x:row>
    <x:row r="170" ht="92" customHeight="1">
      <x:c r="A170" s="14" t="n">
        <x:v>168</x:v>
      </x:c>
      <x:c r="B170" s="4" t="str">
        <x:v>LiDARビーム149：車体前方から実装角度+223.5°（後）</x:v>
      </x:c>
      <x:c r="C170" s="4" t="str">
        <x:v>m</x:v>
      </x:c>
      <x:c r="D170" s="4" t="str">
        <x:v>検出時:d/50（レイHitFraction）; 未検出・検査対象外:1</x:v>
      </x:c>
      <x:c r="E170" s="4" t="str">
        <x:v>[0,1]（gaussian_noise=0, dropout_prob=0）</x:v>
      </x:c>
      <x:c r="F170" s="4" t="str">
        <x:v>レイ始点から0 mの交点相当</x:v>
      </x:c>
      <x:c r="G170" s="4" t="str">
        <x:v>検出交点まで25 m</x:v>
      </x:c>
      <x:c r="H170" s="4" t="str">
        <x:v>未検出・50 m終端・検査対象外</x:v>
      </x:c>
      <x:c r="I170" s="4" t="str">
        <x:v>ビーム番号149; 相対角223.5°。実装レイ終点はθ+2πk/240。右手XYでは角度増加は左回り。旧コメントclockwiseと不一致。dは車両中心XYから対象表面までで、車体前端からの車間距離ではない。</x:v>
      </x:c>
      <x:c r="J170" s="4" t="str">
        <x:v>S01;S07;S08;S09;S10;S13;S17</x:v>
      </x:c>
      <x:c r="K170" s="4" t="str">
        <x:v>https://raw.githubusercontent.com/metadriverse/metadrive/85e5dadc6c7436d324348f6e3d8f8e680c06b4db/metadrive/obs/state_obs.py</x:v>
      </x:c>
    </x:row>
    <x:row r="171" ht="92" customHeight="1">
      <x:c r="A171" s="14" t="n">
        <x:v>169</x:v>
      </x:c>
      <x:c r="B171" s="4" t="str">
        <x:v>LiDARビーム150：車体前方から実装角度+225°（右）</x:v>
      </x:c>
      <x:c r="C171" s="4" t="str">
        <x:v>m</x:v>
      </x:c>
      <x:c r="D171" s="4" t="str">
        <x:v>検出時:d/50（レイHitFraction）; 未検出・検査対象外:1</x:v>
      </x:c>
      <x:c r="E171" s="4" t="str">
        <x:v>[0,1]（gaussian_noise=0, dropout_prob=0）</x:v>
      </x:c>
      <x:c r="F171" s="4" t="str">
        <x:v>レイ始点から0 mの交点相当</x:v>
      </x:c>
      <x:c r="G171" s="4" t="str">
        <x:v>検出交点まで25 m</x:v>
      </x:c>
      <x:c r="H171" s="4" t="str">
        <x:v>未検出・50 m終端・検査対象外</x:v>
      </x:c>
      <x:c r="I171" s="4" t="str">
        <x:v>ビーム番号150; 相対角225°。実装レイ終点はθ+2πk/240。右手XYでは角度増加は左回り。旧コメントclockwiseと不一致。dは車両中心XYから対象表面までで、車体前端からの車間距離ではない。</x:v>
      </x:c>
      <x:c r="J171" s="4" t="str">
        <x:v>S01;S07;S08;S09;S10;S13;S17</x:v>
      </x:c>
      <x:c r="K171" s="4" t="str">
        <x:v>https://raw.githubusercontent.com/metadriverse/metadrive/85e5dadc6c7436d324348f6e3d8f8e680c06b4db/metadrive/obs/state_obs.py</x:v>
      </x:c>
    </x:row>
    <x:row r="172" ht="92" customHeight="1">
      <x:c r="A172" s="14" t="n">
        <x:v>170</x:v>
      </x:c>
      <x:c r="B172" s="4" t="str">
        <x:v>LiDARビーム151：車体前方から実装角度+226.5°（右）</x:v>
      </x:c>
      <x:c r="C172" s="4" t="str">
        <x:v>m</x:v>
      </x:c>
      <x:c r="D172" s="4" t="str">
        <x:v>検出時:d/50（レイHitFraction）; 未検出・検査対象外:1</x:v>
      </x:c>
      <x:c r="E172" s="4" t="str">
        <x:v>[0,1]（gaussian_noise=0, dropout_prob=0）</x:v>
      </x:c>
      <x:c r="F172" s="4" t="str">
        <x:v>レイ始点から0 mの交点相当</x:v>
      </x:c>
      <x:c r="G172" s="4" t="str">
        <x:v>検出交点まで25 m</x:v>
      </x:c>
      <x:c r="H172" s="4" t="str">
        <x:v>未検出・50 m終端・検査対象外</x:v>
      </x:c>
      <x:c r="I172" s="4" t="str">
        <x:v>ビーム番号151; 相対角226.5°。実装レイ終点はθ+2πk/240。右手XYでは角度増加は左回り。旧コメントclockwiseと不一致。dは車両中心XYから対象表面までで、車体前端からの車間距離ではない。</x:v>
      </x:c>
      <x:c r="J172" s="4" t="str">
        <x:v>S01;S07;S08;S09;S10;S13;S17</x:v>
      </x:c>
      <x:c r="K172" s="4" t="str">
        <x:v>https://raw.githubusercontent.com/metadriverse/metadrive/85e5dadc6c7436d324348f6e3d8f8e680c06b4db/metadrive/obs/state_obs.py</x:v>
      </x:c>
    </x:row>
    <x:row r="173" ht="92" customHeight="1">
      <x:c r="A173" s="14" t="n">
        <x:v>171</x:v>
      </x:c>
      <x:c r="B173" s="4" t="str">
        <x:v>LiDARビーム152：車体前方から実装角度+228°（右）</x:v>
      </x:c>
      <x:c r="C173" s="4" t="str">
        <x:v>m</x:v>
      </x:c>
      <x:c r="D173" s="4" t="str">
        <x:v>検出時:d/50（レイHitFraction）; 未検出・検査対象外:1</x:v>
      </x:c>
      <x:c r="E173" s="4" t="str">
        <x:v>[0,1]（gaussian_noise=0, dropout_prob=0）</x:v>
      </x:c>
      <x:c r="F173" s="4" t="str">
        <x:v>レイ始点から0 mの交点相当</x:v>
      </x:c>
      <x:c r="G173" s="4" t="str">
        <x:v>検出交点まで25 m</x:v>
      </x:c>
      <x:c r="H173" s="4" t="str">
        <x:v>未検出・50 m終端・検査対象外</x:v>
      </x:c>
      <x:c r="I173" s="4" t="str">
        <x:v>ビーム番号152; 相対角228°。実装レイ終点はθ+2πk/240。右手XYでは角度増加は左回り。旧コメントclockwiseと不一致。dは車両中心XYから対象表面までで、車体前端からの車間距離ではない。</x:v>
      </x:c>
      <x:c r="J173" s="4" t="str">
        <x:v>S01;S07;S08;S09;S10;S13;S17</x:v>
      </x:c>
      <x:c r="K173" s="4" t="str">
        <x:v>https://raw.githubusercontent.com/metadriverse/metadrive/85e5dadc6c7436d324348f6e3d8f8e680c06b4db/metadrive/obs/state_obs.py</x:v>
      </x:c>
    </x:row>
    <x:row r="174" ht="92" customHeight="1">
      <x:c r="A174" s="14" t="n">
        <x:v>172</x:v>
      </x:c>
      <x:c r="B174" s="4" t="str">
        <x:v>LiDARビーム153：車体前方から実装角度+229.5°（右）</x:v>
      </x:c>
      <x:c r="C174" s="4" t="str">
        <x:v>m</x:v>
      </x:c>
      <x:c r="D174" s="4" t="str">
        <x:v>検出時:d/50（レイHitFraction）; 未検出・検査対象外:1</x:v>
      </x:c>
      <x:c r="E174" s="4" t="str">
        <x:v>[0,1]（gaussian_noise=0, dropout_prob=0）</x:v>
      </x:c>
      <x:c r="F174" s="4" t="str">
        <x:v>レイ始点から0 mの交点相当</x:v>
      </x:c>
      <x:c r="G174" s="4" t="str">
        <x:v>検出交点まで25 m</x:v>
      </x:c>
      <x:c r="H174" s="4" t="str">
        <x:v>未検出・50 m終端・検査対象外</x:v>
      </x:c>
      <x:c r="I174" s="4" t="str">
        <x:v>ビーム番号153; 相対角229.5°。実装レイ終点はθ+2πk/240。右手XYでは角度増加は左回り。旧コメントclockwiseと不一致。dは車両中心XYから対象表面までで、車体前端からの車間距離ではない。</x:v>
      </x:c>
      <x:c r="J174" s="4" t="str">
        <x:v>S01;S07;S08;S09;S10;S13;S17</x:v>
      </x:c>
      <x:c r="K174" s="4" t="str">
        <x:v>https://raw.githubusercontent.com/metadriverse/metadrive/85e5dadc6c7436d324348f6e3d8f8e680c06b4db/metadrive/obs/state_obs.py</x:v>
      </x:c>
    </x:row>
    <x:row r="175" ht="92" customHeight="1">
      <x:c r="A175" s="14" t="n">
        <x:v>173</x:v>
      </x:c>
      <x:c r="B175" s="4" t="str">
        <x:v>LiDARビーム154：車体前方から実装角度+231°（右）</x:v>
      </x:c>
      <x:c r="C175" s="4" t="str">
        <x:v>m</x:v>
      </x:c>
      <x:c r="D175" s="4" t="str">
        <x:v>検出時:d/50（レイHitFraction）; 未検出・検査対象外:1</x:v>
      </x:c>
      <x:c r="E175" s="4" t="str">
        <x:v>[0,1]（gaussian_noise=0, dropout_prob=0）</x:v>
      </x:c>
      <x:c r="F175" s="4" t="str">
        <x:v>レイ始点から0 mの交点相当</x:v>
      </x:c>
      <x:c r="G175" s="4" t="str">
        <x:v>検出交点まで25 m</x:v>
      </x:c>
      <x:c r="H175" s="4" t="str">
        <x:v>未検出・50 m終端・検査対象外</x:v>
      </x:c>
      <x:c r="I175" s="4" t="str">
        <x:v>ビーム番号154; 相対角231°。実装レイ終点はθ+2πk/240。右手XYでは角度増加は左回り。旧コメントclockwiseと不一致。dは車両中心XYから対象表面までで、車体前端からの車間距離ではない。</x:v>
      </x:c>
      <x:c r="J175" s="4" t="str">
        <x:v>S01;S07;S08;S09;S10;S13;S17</x:v>
      </x:c>
      <x:c r="K175" s="4" t="str">
        <x:v>https://raw.githubusercontent.com/metadriverse/metadrive/85e5dadc6c7436d324348f6e3d8f8e680c06b4db/metadrive/obs/state_obs.py</x:v>
      </x:c>
    </x:row>
    <x:row r="176" ht="92" customHeight="1">
      <x:c r="A176" s="14" t="n">
        <x:v>174</x:v>
      </x:c>
      <x:c r="B176" s="4" t="str">
        <x:v>LiDARビーム155：車体前方から実装角度+232.5°（右）</x:v>
      </x:c>
      <x:c r="C176" s="4" t="str">
        <x:v>m</x:v>
      </x:c>
      <x:c r="D176" s="4" t="str">
        <x:v>検出時:d/50（レイHitFraction）; 未検出・検査対象外:1</x:v>
      </x:c>
      <x:c r="E176" s="4" t="str">
        <x:v>[0,1]（gaussian_noise=0, dropout_prob=0）</x:v>
      </x:c>
      <x:c r="F176" s="4" t="str">
        <x:v>レイ始点から0 mの交点相当</x:v>
      </x:c>
      <x:c r="G176" s="4" t="str">
        <x:v>検出交点まで25 m</x:v>
      </x:c>
      <x:c r="H176" s="4" t="str">
        <x:v>未検出・50 m終端・検査対象外</x:v>
      </x:c>
      <x:c r="I176" s="4" t="str">
        <x:v>ビーム番号155; 相対角232.5°。実装レイ終点はθ+2πk/240。右手XYでは角度増加は左回り。旧コメントclockwiseと不一致。dは車両中心XYから対象表面までで、車体前端からの車間距離ではない。</x:v>
      </x:c>
      <x:c r="J176" s="4" t="str">
        <x:v>S01;S07;S08;S09;S10;S13;S17</x:v>
      </x:c>
      <x:c r="K176" s="4" t="str">
        <x:v>https://raw.githubusercontent.com/metadriverse/metadrive/85e5dadc6c7436d324348f6e3d8f8e680c06b4db/metadrive/obs/state_obs.py</x:v>
      </x:c>
    </x:row>
    <x:row r="177" ht="92" customHeight="1">
      <x:c r="A177" s="14" t="n">
        <x:v>175</x:v>
      </x:c>
      <x:c r="B177" s="4" t="str">
        <x:v>LiDARビーム156：車体前方から実装角度+234°（右）</x:v>
      </x:c>
      <x:c r="C177" s="4" t="str">
        <x:v>m</x:v>
      </x:c>
      <x:c r="D177" s="4" t="str">
        <x:v>検出時:d/50（レイHitFraction）; 未検出・検査対象外:1</x:v>
      </x:c>
      <x:c r="E177" s="4" t="str">
        <x:v>[0,1]（gaussian_noise=0, dropout_prob=0）</x:v>
      </x:c>
      <x:c r="F177" s="4" t="str">
        <x:v>レイ始点から0 mの交点相当</x:v>
      </x:c>
      <x:c r="G177" s="4" t="str">
        <x:v>検出交点まで25 m</x:v>
      </x:c>
      <x:c r="H177" s="4" t="str">
        <x:v>未検出・50 m終端・検査対象外</x:v>
      </x:c>
      <x:c r="I177" s="4" t="str">
        <x:v>ビーム番号156; 相対角234°。実装レイ終点はθ+2πk/240。右手XYでは角度増加は左回り。旧コメントclockwiseと不一致。dは車両中心XYから対象表面までで、車体前端からの車間距離ではない。</x:v>
      </x:c>
      <x:c r="J177" s="4" t="str">
        <x:v>S01;S07;S08;S09;S10;S13;S17</x:v>
      </x:c>
      <x:c r="K177" s="4" t="str">
        <x:v>https://raw.githubusercontent.com/metadriverse/metadrive/85e5dadc6c7436d324348f6e3d8f8e680c06b4db/metadrive/obs/state_obs.py</x:v>
      </x:c>
    </x:row>
    <x:row r="178" ht="92" customHeight="1">
      <x:c r="A178" s="14" t="n">
        <x:v>176</x:v>
      </x:c>
      <x:c r="B178" s="4" t="str">
        <x:v>LiDARビーム157：車体前方から実装角度+235.5°（右）</x:v>
      </x:c>
      <x:c r="C178" s="4" t="str">
        <x:v>m</x:v>
      </x:c>
      <x:c r="D178" s="4" t="str">
        <x:v>検出時:d/50（レイHitFraction）; 未検出・検査対象外:1</x:v>
      </x:c>
      <x:c r="E178" s="4" t="str">
        <x:v>[0,1]（gaussian_noise=0, dropout_prob=0）</x:v>
      </x:c>
      <x:c r="F178" s="4" t="str">
        <x:v>レイ始点から0 mの交点相当</x:v>
      </x:c>
      <x:c r="G178" s="4" t="str">
        <x:v>検出交点まで25 m</x:v>
      </x:c>
      <x:c r="H178" s="4" t="str">
        <x:v>未検出・50 m終端・検査対象外</x:v>
      </x:c>
      <x:c r="I178" s="4" t="str">
        <x:v>ビーム番号157; 相対角235.5°。実装レイ終点はθ+2πk/240。右手XYでは角度増加は左回り。旧コメントclockwiseと不一致。dは車両中心XYから対象表面までで、車体前端からの車間距離ではない。</x:v>
      </x:c>
      <x:c r="J178" s="4" t="str">
        <x:v>S01;S07;S08;S09;S10;S13;S17</x:v>
      </x:c>
      <x:c r="K178" s="4" t="str">
        <x:v>https://raw.githubusercontent.com/metadriverse/metadrive/85e5dadc6c7436d324348f6e3d8f8e680c06b4db/metadrive/obs/state_obs.py</x:v>
      </x:c>
    </x:row>
    <x:row r="179" ht="92" customHeight="1">
      <x:c r="A179" s="14" t="n">
        <x:v>177</x:v>
      </x:c>
      <x:c r="B179" s="4" t="str">
        <x:v>LiDARビーム158：車体前方から実装角度+237°（右）</x:v>
      </x:c>
      <x:c r="C179" s="4" t="str">
        <x:v>m</x:v>
      </x:c>
      <x:c r="D179" s="4" t="str">
        <x:v>検出時:d/50（レイHitFraction）; 未検出・検査対象外:1</x:v>
      </x:c>
      <x:c r="E179" s="4" t="str">
        <x:v>[0,1]（gaussian_noise=0, dropout_prob=0）</x:v>
      </x:c>
      <x:c r="F179" s="4" t="str">
        <x:v>レイ始点から0 mの交点相当</x:v>
      </x:c>
      <x:c r="G179" s="4" t="str">
        <x:v>検出交点まで25 m</x:v>
      </x:c>
      <x:c r="H179" s="4" t="str">
        <x:v>未検出・50 m終端・検査対象外</x:v>
      </x:c>
      <x:c r="I179" s="4" t="str">
        <x:v>ビーム番号158; 相対角237°。実装レイ終点はθ+2πk/240。右手XYでは角度増加は左回り。旧コメントclockwiseと不一致。dは車両中心XYから対象表面までで、車体前端からの車間距離ではない。</x:v>
      </x:c>
      <x:c r="J179" s="4" t="str">
        <x:v>S01;S07;S08;S09;S10;S13;S17</x:v>
      </x:c>
      <x:c r="K179" s="4" t="str">
        <x:v>https://raw.githubusercontent.com/metadriverse/metadrive/85e5dadc6c7436d324348f6e3d8f8e680c06b4db/metadrive/obs/state_obs.py</x:v>
      </x:c>
    </x:row>
    <x:row r="180" ht="92" customHeight="1">
      <x:c r="A180" s="14" t="n">
        <x:v>178</x:v>
      </x:c>
      <x:c r="B180" s="4" t="str">
        <x:v>LiDARビーム159：車体前方から実装角度+238.5°（右）</x:v>
      </x:c>
      <x:c r="C180" s="4" t="str">
        <x:v>m</x:v>
      </x:c>
      <x:c r="D180" s="4" t="str">
        <x:v>検出時:d/50（レイHitFraction）; 未検出・検査対象外:1</x:v>
      </x:c>
      <x:c r="E180" s="4" t="str">
        <x:v>[0,1]（gaussian_noise=0, dropout_prob=0）</x:v>
      </x:c>
      <x:c r="F180" s="4" t="str">
        <x:v>レイ始点から0 mの交点相当</x:v>
      </x:c>
      <x:c r="G180" s="4" t="str">
        <x:v>検出交点まで25 m</x:v>
      </x:c>
      <x:c r="H180" s="4" t="str">
        <x:v>未検出・50 m終端・検査対象外</x:v>
      </x:c>
      <x:c r="I180" s="4" t="str">
        <x:v>ビーム番号159; 相対角238.5°。実装レイ終点はθ+2πk/240。右手XYでは角度増加は左回り。旧コメントclockwiseと不一致。dは車両中心XYから対象表面までで、車体前端からの車間距離ではない。</x:v>
      </x:c>
      <x:c r="J180" s="4" t="str">
        <x:v>S01;S07;S08;S09;S10;S13;S17</x:v>
      </x:c>
      <x:c r="K180" s="4" t="str">
        <x:v>https://raw.githubusercontent.com/metadriverse/metadrive/85e5dadc6c7436d324348f6e3d8f8e680c06b4db/metadrive/obs/state_obs.py</x:v>
      </x:c>
    </x:row>
    <x:row r="181" ht="92" customHeight="1">
      <x:c r="A181" s="14" t="n">
        <x:v>179</x:v>
      </x:c>
      <x:c r="B181" s="4" t="str">
        <x:v>LiDARビーム160：車体前方から実装角度+240°（右）</x:v>
      </x:c>
      <x:c r="C181" s="4" t="str">
        <x:v>m</x:v>
      </x:c>
      <x:c r="D181" s="4" t="str">
        <x:v>検出時:d/50（レイHitFraction）; 未検出・検査対象外:1</x:v>
      </x:c>
      <x:c r="E181" s="4" t="str">
        <x:v>[0,1]（gaussian_noise=0, dropout_prob=0）</x:v>
      </x:c>
      <x:c r="F181" s="4" t="str">
        <x:v>レイ始点から0 mの交点相当</x:v>
      </x:c>
      <x:c r="G181" s="4" t="str">
        <x:v>検出交点まで25 m</x:v>
      </x:c>
      <x:c r="H181" s="4" t="str">
        <x:v>未検出・50 m終端・検査対象外</x:v>
      </x:c>
      <x:c r="I181" s="4" t="str">
        <x:v>ビーム番号160; 相対角240°。実装レイ終点はθ+2πk/240。右手XYでは角度増加は左回り。旧コメントclockwiseと不一致。dは車両中心XYから対象表面までで、車体前端からの車間距離ではない。</x:v>
      </x:c>
      <x:c r="J181" s="4" t="str">
        <x:v>S01;S07;S08;S09;S10;S13;S17</x:v>
      </x:c>
      <x:c r="K181" s="4" t="str">
        <x:v>https://raw.githubusercontent.com/metadriverse/metadrive/85e5dadc6c7436d324348f6e3d8f8e680c06b4db/metadrive/obs/state_obs.py</x:v>
      </x:c>
    </x:row>
    <x:row r="182" ht="92" customHeight="1">
      <x:c r="A182" s="14" t="n">
        <x:v>180</x:v>
      </x:c>
      <x:c r="B182" s="4" t="str">
        <x:v>LiDARビーム161：車体前方から実装角度+241.5°（右）</x:v>
      </x:c>
      <x:c r="C182" s="4" t="str">
        <x:v>m</x:v>
      </x:c>
      <x:c r="D182" s="4" t="str">
        <x:v>検出時:d/50（レイHitFraction）; 未検出・検査対象外:1</x:v>
      </x:c>
      <x:c r="E182" s="4" t="str">
        <x:v>[0,1]（gaussian_noise=0, dropout_prob=0）</x:v>
      </x:c>
      <x:c r="F182" s="4" t="str">
        <x:v>レイ始点から0 mの交点相当</x:v>
      </x:c>
      <x:c r="G182" s="4" t="str">
        <x:v>検出交点まで25 m</x:v>
      </x:c>
      <x:c r="H182" s="4" t="str">
        <x:v>未検出・50 m終端・検査対象外</x:v>
      </x:c>
      <x:c r="I182" s="4" t="str">
        <x:v>ビーム番号161; 相対角241.5°。実装レイ終点はθ+2πk/240。右手XYでは角度増加は左回り。旧コメントclockwiseと不一致。dは車両中心XYから対象表面までで、車体前端からの車間距離ではない。</x:v>
      </x:c>
      <x:c r="J182" s="4" t="str">
        <x:v>S01;S07;S08;S09;S10;S13;S17</x:v>
      </x:c>
      <x:c r="K182" s="4" t="str">
        <x:v>https://raw.githubusercontent.com/metadriverse/metadrive/85e5dadc6c7436d324348f6e3d8f8e680c06b4db/metadrive/obs/state_obs.py</x:v>
      </x:c>
    </x:row>
    <x:row r="183" ht="92" customHeight="1">
      <x:c r="A183" s="14" t="n">
        <x:v>181</x:v>
      </x:c>
      <x:c r="B183" s="4" t="str">
        <x:v>LiDARビーム162：車体前方から実装角度+243°（右）</x:v>
      </x:c>
      <x:c r="C183" s="4" t="str">
        <x:v>m</x:v>
      </x:c>
      <x:c r="D183" s="4" t="str">
        <x:v>検出時:d/50（レイHitFraction）; 未検出・検査対象外:1</x:v>
      </x:c>
      <x:c r="E183" s="4" t="str">
        <x:v>[0,1]（gaussian_noise=0, dropout_prob=0）</x:v>
      </x:c>
      <x:c r="F183" s="4" t="str">
        <x:v>レイ始点から0 mの交点相当</x:v>
      </x:c>
      <x:c r="G183" s="4" t="str">
        <x:v>検出交点まで25 m</x:v>
      </x:c>
      <x:c r="H183" s="4" t="str">
        <x:v>未検出・50 m終端・検査対象外</x:v>
      </x:c>
      <x:c r="I183" s="4" t="str">
        <x:v>ビーム番号162; 相対角243°。実装レイ終点はθ+2πk/240。右手XYでは角度増加は左回り。旧コメントclockwiseと不一致。dは車両中心XYから対象表面までで、車体前端からの車間距離ではない。</x:v>
      </x:c>
      <x:c r="J183" s="4" t="str">
        <x:v>S01;S07;S08;S09;S10;S13;S17</x:v>
      </x:c>
      <x:c r="K183" s="4" t="str">
        <x:v>https://raw.githubusercontent.com/metadriverse/metadrive/85e5dadc6c7436d324348f6e3d8f8e680c06b4db/metadrive/obs/state_obs.py</x:v>
      </x:c>
    </x:row>
    <x:row r="184" ht="92" customHeight="1">
      <x:c r="A184" s="14" t="n">
        <x:v>182</x:v>
      </x:c>
      <x:c r="B184" s="4" t="str">
        <x:v>LiDARビーム163：車体前方から実装角度+244.5°（右）</x:v>
      </x:c>
      <x:c r="C184" s="4" t="str">
        <x:v>m</x:v>
      </x:c>
      <x:c r="D184" s="4" t="str">
        <x:v>検出時:d/50（レイHitFraction）; 未検出・検査対象外:1</x:v>
      </x:c>
      <x:c r="E184" s="4" t="str">
        <x:v>[0,1]（gaussian_noise=0, dropout_prob=0）</x:v>
      </x:c>
      <x:c r="F184" s="4" t="str">
        <x:v>レイ始点から0 mの交点相当</x:v>
      </x:c>
      <x:c r="G184" s="4" t="str">
        <x:v>検出交点まで25 m</x:v>
      </x:c>
      <x:c r="H184" s="4" t="str">
        <x:v>未検出・50 m終端・検査対象外</x:v>
      </x:c>
      <x:c r="I184" s="4" t="str">
        <x:v>ビーム番号163; 相対角244.5°。実装レイ終点はθ+2πk/240。右手XYでは角度増加は左回り。旧コメントclockwiseと不一致。dは車両中心XYから対象表面までで、車体前端からの車間距離ではない。</x:v>
      </x:c>
      <x:c r="J184" s="4" t="str">
        <x:v>S01;S07;S08;S09;S10;S13;S17</x:v>
      </x:c>
      <x:c r="K184" s="4" t="str">
        <x:v>https://raw.githubusercontent.com/metadriverse/metadrive/85e5dadc6c7436d324348f6e3d8f8e680c06b4db/metadrive/obs/state_obs.py</x:v>
      </x:c>
    </x:row>
    <x:row r="185" ht="92" customHeight="1">
      <x:c r="A185" s="14" t="n">
        <x:v>183</x:v>
      </x:c>
      <x:c r="B185" s="4" t="str">
        <x:v>LiDARビーム164：車体前方から実装角度+246°（右）</x:v>
      </x:c>
      <x:c r="C185" s="4" t="str">
        <x:v>m</x:v>
      </x:c>
      <x:c r="D185" s="4" t="str">
        <x:v>検出時:d/50（レイHitFraction）; 未検出・検査対象外:1</x:v>
      </x:c>
      <x:c r="E185" s="4" t="str">
        <x:v>[0,1]（gaussian_noise=0, dropout_prob=0）</x:v>
      </x:c>
      <x:c r="F185" s="4" t="str">
        <x:v>レイ始点から0 mの交点相当</x:v>
      </x:c>
      <x:c r="G185" s="4" t="str">
        <x:v>検出交点まで25 m</x:v>
      </x:c>
      <x:c r="H185" s="4" t="str">
        <x:v>未検出・50 m終端・検査対象外</x:v>
      </x:c>
      <x:c r="I185" s="4" t="str">
        <x:v>ビーム番号164; 相対角246°。実装レイ終点はθ+2πk/240。右手XYでは角度増加は左回り。旧コメントclockwiseと不一致。dは車両中心XYから対象表面までで、車体前端からの車間距離ではない。</x:v>
      </x:c>
      <x:c r="J185" s="4" t="str">
        <x:v>S01;S07;S08;S09;S10;S13;S17</x:v>
      </x:c>
      <x:c r="K185" s="4" t="str">
        <x:v>https://raw.githubusercontent.com/metadriverse/metadrive/85e5dadc6c7436d324348f6e3d8f8e680c06b4db/metadrive/obs/state_obs.py</x:v>
      </x:c>
    </x:row>
    <x:row r="186" ht="92" customHeight="1">
      <x:c r="A186" s="14" t="n">
        <x:v>184</x:v>
      </x:c>
      <x:c r="B186" s="4" t="str">
        <x:v>LiDARビーム165：車体前方から実装角度+247.5°（右）</x:v>
      </x:c>
      <x:c r="C186" s="4" t="str">
        <x:v>m</x:v>
      </x:c>
      <x:c r="D186" s="4" t="str">
        <x:v>検出時:d/50（レイHitFraction）; 未検出・検査対象外:1</x:v>
      </x:c>
      <x:c r="E186" s="4" t="str">
        <x:v>[0,1]（gaussian_noise=0, dropout_prob=0）</x:v>
      </x:c>
      <x:c r="F186" s="4" t="str">
        <x:v>レイ始点から0 mの交点相当</x:v>
      </x:c>
      <x:c r="G186" s="4" t="str">
        <x:v>検出交点まで25 m</x:v>
      </x:c>
      <x:c r="H186" s="4" t="str">
        <x:v>未検出・50 m終端・検査対象外</x:v>
      </x:c>
      <x:c r="I186" s="4" t="str">
        <x:v>ビーム番号165; 相対角247.5°。実装レイ終点はθ+2πk/240。右手XYでは角度増加は左回り。旧コメントclockwiseと不一致。dは車両中心XYから対象表面までで、車体前端からの車間距離ではない。</x:v>
      </x:c>
      <x:c r="J186" s="4" t="str">
        <x:v>S01;S07;S08;S09;S10;S13;S17</x:v>
      </x:c>
      <x:c r="K186" s="4" t="str">
        <x:v>https://raw.githubusercontent.com/metadriverse/metadrive/85e5dadc6c7436d324348f6e3d8f8e680c06b4db/metadrive/obs/state_obs.py</x:v>
      </x:c>
    </x:row>
    <x:row r="187" ht="92" customHeight="1">
      <x:c r="A187" s="14" t="n">
        <x:v>185</x:v>
      </x:c>
      <x:c r="B187" s="4" t="str">
        <x:v>LiDARビーム166：車体前方から実装角度+249°（右）</x:v>
      </x:c>
      <x:c r="C187" s="4" t="str">
        <x:v>m</x:v>
      </x:c>
      <x:c r="D187" s="4" t="str">
        <x:v>検出時:d/50（レイHitFraction）; 未検出・検査対象外:1</x:v>
      </x:c>
      <x:c r="E187" s="4" t="str">
        <x:v>[0,1]（gaussian_noise=0, dropout_prob=0）</x:v>
      </x:c>
      <x:c r="F187" s="4" t="str">
        <x:v>レイ始点から0 mの交点相当</x:v>
      </x:c>
      <x:c r="G187" s="4" t="str">
        <x:v>検出交点まで25 m</x:v>
      </x:c>
      <x:c r="H187" s="4" t="str">
        <x:v>未検出・50 m終端・検査対象外</x:v>
      </x:c>
      <x:c r="I187" s="4" t="str">
        <x:v>ビーム番号166; 相対角249°。実装レイ終点はθ+2πk/240。右手XYでは角度増加は左回り。旧コメントclockwiseと不一致。dは車両中心XYから対象表面までで、車体前端からの車間距離ではない。</x:v>
      </x:c>
      <x:c r="J187" s="4" t="str">
        <x:v>S01;S07;S08;S09;S10;S13;S17</x:v>
      </x:c>
      <x:c r="K187" s="4" t="str">
        <x:v>https://raw.githubusercontent.com/metadriverse/metadrive/85e5dadc6c7436d324348f6e3d8f8e680c06b4db/metadrive/obs/state_obs.py</x:v>
      </x:c>
    </x:row>
    <x:row r="188" ht="92" customHeight="1">
      <x:c r="A188" s="14" t="n">
        <x:v>186</x:v>
      </x:c>
      <x:c r="B188" s="4" t="str">
        <x:v>LiDARビーム167：車体前方から実装角度+250.5°（右）</x:v>
      </x:c>
      <x:c r="C188" s="4" t="str">
        <x:v>m</x:v>
      </x:c>
      <x:c r="D188" s="4" t="str">
        <x:v>検出時:d/50（レイHitFraction）; 未検出・検査対象外:1</x:v>
      </x:c>
      <x:c r="E188" s="4" t="str">
        <x:v>[0,1]（gaussian_noise=0, dropout_prob=0）</x:v>
      </x:c>
      <x:c r="F188" s="4" t="str">
        <x:v>レイ始点から0 mの交点相当</x:v>
      </x:c>
      <x:c r="G188" s="4" t="str">
        <x:v>検出交点まで25 m</x:v>
      </x:c>
      <x:c r="H188" s="4" t="str">
        <x:v>未検出・50 m終端・検査対象外</x:v>
      </x:c>
      <x:c r="I188" s="4" t="str">
        <x:v>ビーム番号167; 相対角250.5°。実装レイ終点はθ+2πk/240。右手XYでは角度増加は左回り。旧コメントclockwiseと不一致。dは車両中心XYから対象表面までで、車体前端からの車間距離ではない。</x:v>
      </x:c>
      <x:c r="J188" s="4" t="str">
        <x:v>S01;S07;S08;S09;S10;S13;S17</x:v>
      </x:c>
      <x:c r="K188" s="4" t="str">
        <x:v>https://raw.githubusercontent.com/metadriverse/metadrive/85e5dadc6c7436d324348f6e3d8f8e680c06b4db/metadrive/obs/state_obs.py</x:v>
      </x:c>
    </x:row>
    <x:row r="189" ht="92" customHeight="1">
      <x:c r="A189" s="14" t="n">
        <x:v>187</x:v>
      </x:c>
      <x:c r="B189" s="4" t="str">
        <x:v>LiDARビーム168：車体前方から実装角度+252°（右）</x:v>
      </x:c>
      <x:c r="C189" s="4" t="str">
        <x:v>m</x:v>
      </x:c>
      <x:c r="D189" s="4" t="str">
        <x:v>検出時:d/50（レイHitFraction）; 未検出・検査対象外:1</x:v>
      </x:c>
      <x:c r="E189" s="4" t="str">
        <x:v>[0,1]（gaussian_noise=0, dropout_prob=0）</x:v>
      </x:c>
      <x:c r="F189" s="4" t="str">
        <x:v>レイ始点から0 mの交点相当</x:v>
      </x:c>
      <x:c r="G189" s="4" t="str">
        <x:v>検出交点まで25 m</x:v>
      </x:c>
      <x:c r="H189" s="4" t="str">
        <x:v>未検出・50 m終端・検査対象外</x:v>
      </x:c>
      <x:c r="I189" s="4" t="str">
        <x:v>ビーム番号168; 相対角252°。実装レイ終点はθ+2πk/240。右手XYでは角度増加は左回り。旧コメントclockwiseと不一致。dは車両中心XYから対象表面までで、車体前端からの車間距離ではない。</x:v>
      </x:c>
      <x:c r="J189" s="4" t="str">
        <x:v>S01;S07;S08;S09;S10;S13;S17</x:v>
      </x:c>
      <x:c r="K189" s="4" t="str">
        <x:v>https://raw.githubusercontent.com/metadriverse/metadrive/85e5dadc6c7436d324348f6e3d8f8e680c06b4db/metadrive/obs/state_obs.py</x:v>
      </x:c>
    </x:row>
    <x:row r="190" ht="92" customHeight="1">
      <x:c r="A190" s="14" t="n">
        <x:v>188</x:v>
      </x:c>
      <x:c r="B190" s="4" t="str">
        <x:v>LiDARビーム169：車体前方から実装角度+253.5°（右）</x:v>
      </x:c>
      <x:c r="C190" s="4" t="str">
        <x:v>m</x:v>
      </x:c>
      <x:c r="D190" s="4" t="str">
        <x:v>検出時:d/50（レイHitFraction）; 未検出・検査対象外:1</x:v>
      </x:c>
      <x:c r="E190" s="4" t="str">
        <x:v>[0,1]（gaussian_noise=0, dropout_prob=0）</x:v>
      </x:c>
      <x:c r="F190" s="4" t="str">
        <x:v>レイ始点から0 mの交点相当</x:v>
      </x:c>
      <x:c r="G190" s="4" t="str">
        <x:v>検出交点まで25 m</x:v>
      </x:c>
      <x:c r="H190" s="4" t="str">
        <x:v>未検出・50 m終端・検査対象外</x:v>
      </x:c>
      <x:c r="I190" s="4" t="str">
        <x:v>ビーム番号169; 相対角253.5°。実装レイ終点はθ+2πk/240。右手XYでは角度増加は左回り。旧コメントclockwiseと不一致。dは車両中心XYから対象表面までで、車体前端からの車間距離ではない。</x:v>
      </x:c>
      <x:c r="J190" s="4" t="str">
        <x:v>S01;S07;S08;S09;S10;S13;S17</x:v>
      </x:c>
      <x:c r="K190" s="4" t="str">
        <x:v>https://raw.githubusercontent.com/metadriverse/metadrive/85e5dadc6c7436d324348f6e3d8f8e680c06b4db/metadrive/obs/state_obs.py</x:v>
      </x:c>
    </x:row>
    <x:row r="191" ht="92" customHeight="1">
      <x:c r="A191" s="14" t="n">
        <x:v>189</x:v>
      </x:c>
      <x:c r="B191" s="4" t="str">
        <x:v>LiDARビーム170：車体前方から実装角度+255°（右）</x:v>
      </x:c>
      <x:c r="C191" s="4" t="str">
        <x:v>m</x:v>
      </x:c>
      <x:c r="D191" s="4" t="str">
        <x:v>検出時:d/50（レイHitFraction）; 未検出・検査対象外:1</x:v>
      </x:c>
      <x:c r="E191" s="4" t="str">
        <x:v>[0,1]（gaussian_noise=0, dropout_prob=0）</x:v>
      </x:c>
      <x:c r="F191" s="4" t="str">
        <x:v>レイ始点から0 mの交点相当</x:v>
      </x:c>
      <x:c r="G191" s="4" t="str">
        <x:v>検出交点まで25 m</x:v>
      </x:c>
      <x:c r="H191" s="4" t="str">
        <x:v>未検出・50 m終端・検査対象外</x:v>
      </x:c>
      <x:c r="I191" s="4" t="str">
        <x:v>ビーム番号170; 相対角255°。実装レイ終点はθ+2πk/240。右手XYでは角度増加は左回り。旧コメントclockwiseと不一致。dは車両中心XYから対象表面までで、車体前端からの車間距離ではない。</x:v>
      </x:c>
      <x:c r="J191" s="4" t="str">
        <x:v>S01;S07;S08;S09;S10;S13;S17</x:v>
      </x:c>
      <x:c r="K191" s="4" t="str">
        <x:v>https://raw.githubusercontent.com/metadriverse/metadrive/85e5dadc6c7436d324348f6e3d8f8e680c06b4db/metadrive/obs/state_obs.py</x:v>
      </x:c>
    </x:row>
    <x:row r="192" ht="92" customHeight="1">
      <x:c r="A192" s="14" t="n">
        <x:v>190</x:v>
      </x:c>
      <x:c r="B192" s="4" t="str">
        <x:v>LiDARビーム171：車体前方から実装角度+256.5°（右）</x:v>
      </x:c>
      <x:c r="C192" s="4" t="str">
        <x:v>m</x:v>
      </x:c>
      <x:c r="D192" s="4" t="str">
        <x:v>検出時:d/50（レイHitFraction）; 未検出・検査対象外:1</x:v>
      </x:c>
      <x:c r="E192" s="4" t="str">
        <x:v>[0,1]（gaussian_noise=0, dropout_prob=0）</x:v>
      </x:c>
      <x:c r="F192" s="4" t="str">
        <x:v>レイ始点から0 mの交点相当</x:v>
      </x:c>
      <x:c r="G192" s="4" t="str">
        <x:v>検出交点まで25 m</x:v>
      </x:c>
      <x:c r="H192" s="4" t="str">
        <x:v>未検出・50 m終端・検査対象外</x:v>
      </x:c>
      <x:c r="I192" s="4" t="str">
        <x:v>ビーム番号171; 相対角256.5°。実装レイ終点はθ+2πk/240。右手XYでは角度増加は左回り。旧コメントclockwiseと不一致。dは車両中心XYから対象表面までで、車体前端からの車間距離ではない。</x:v>
      </x:c>
      <x:c r="J192" s="4" t="str">
        <x:v>S01;S07;S08;S09;S10;S13;S17</x:v>
      </x:c>
      <x:c r="K192" s="4" t="str">
        <x:v>https://raw.githubusercontent.com/metadriverse/metadrive/85e5dadc6c7436d324348f6e3d8f8e680c06b4db/metadrive/obs/state_obs.py</x:v>
      </x:c>
    </x:row>
    <x:row r="193" ht="92" customHeight="1">
      <x:c r="A193" s="14" t="n">
        <x:v>191</x:v>
      </x:c>
      <x:c r="B193" s="4" t="str">
        <x:v>LiDARビーム172：車体前方から実装角度+258°（右）</x:v>
      </x:c>
      <x:c r="C193" s="4" t="str">
        <x:v>m</x:v>
      </x:c>
      <x:c r="D193" s="4" t="str">
        <x:v>検出時:d/50（レイHitFraction）; 未検出・検査対象外:1</x:v>
      </x:c>
      <x:c r="E193" s="4" t="str">
        <x:v>[0,1]（gaussian_noise=0, dropout_prob=0）</x:v>
      </x:c>
      <x:c r="F193" s="4" t="str">
        <x:v>レイ始点から0 mの交点相当</x:v>
      </x:c>
      <x:c r="G193" s="4" t="str">
        <x:v>検出交点まで25 m</x:v>
      </x:c>
      <x:c r="H193" s="4" t="str">
        <x:v>未検出・50 m終端・検査対象外</x:v>
      </x:c>
      <x:c r="I193" s="4" t="str">
        <x:v>ビーム番号172; 相対角258°。実装レイ終点はθ+2πk/240。右手XYでは角度増加は左回り。旧コメントclockwiseと不一致。dは車両中心XYから対象表面までで、車体前端からの車間距離ではない。</x:v>
      </x:c>
      <x:c r="J193" s="4" t="str">
        <x:v>S01;S07;S08;S09;S10;S13;S17</x:v>
      </x:c>
      <x:c r="K193" s="4" t="str">
        <x:v>https://raw.githubusercontent.com/metadriverse/metadrive/85e5dadc6c7436d324348f6e3d8f8e680c06b4db/metadrive/obs/state_obs.py</x:v>
      </x:c>
    </x:row>
    <x:row r="194" ht="92" customHeight="1">
      <x:c r="A194" s="14" t="n">
        <x:v>192</x:v>
      </x:c>
      <x:c r="B194" s="4" t="str">
        <x:v>LiDARビーム173：車体前方から実装角度+259.5°（右）</x:v>
      </x:c>
      <x:c r="C194" s="4" t="str">
        <x:v>m</x:v>
      </x:c>
      <x:c r="D194" s="4" t="str">
        <x:v>検出時:d/50（レイHitFraction）; 未検出・検査対象外:1</x:v>
      </x:c>
      <x:c r="E194" s="4" t="str">
        <x:v>[0,1]（gaussian_noise=0, dropout_prob=0）</x:v>
      </x:c>
      <x:c r="F194" s="4" t="str">
        <x:v>レイ始点から0 mの交点相当</x:v>
      </x:c>
      <x:c r="G194" s="4" t="str">
        <x:v>検出交点まで25 m</x:v>
      </x:c>
      <x:c r="H194" s="4" t="str">
        <x:v>未検出・50 m終端・検査対象外</x:v>
      </x:c>
      <x:c r="I194" s="4" t="str">
        <x:v>ビーム番号173; 相対角259.5°。実装レイ終点はθ+2πk/240。右手XYでは角度増加は左回り。旧コメントclockwiseと不一致。dは車両中心XYから対象表面までで、車体前端からの車間距離ではない。</x:v>
      </x:c>
      <x:c r="J194" s="4" t="str">
        <x:v>S01;S07;S08;S09;S10;S13;S17</x:v>
      </x:c>
      <x:c r="K194" s="4" t="str">
        <x:v>https://raw.githubusercontent.com/metadriverse/metadrive/85e5dadc6c7436d324348f6e3d8f8e680c06b4db/metadrive/obs/state_obs.py</x:v>
      </x:c>
    </x:row>
    <x:row r="195" ht="92" customHeight="1">
      <x:c r="A195" s="14" t="n">
        <x:v>193</x:v>
      </x:c>
      <x:c r="B195" s="4" t="str">
        <x:v>LiDARビーム174：車体前方から実装角度+261°（右）</x:v>
      </x:c>
      <x:c r="C195" s="4" t="str">
        <x:v>m</x:v>
      </x:c>
      <x:c r="D195" s="4" t="str">
        <x:v>検出時:d/50（レイHitFraction）; 未検出・検査対象外:1</x:v>
      </x:c>
      <x:c r="E195" s="4" t="str">
        <x:v>[0,1]（gaussian_noise=0, dropout_prob=0）</x:v>
      </x:c>
      <x:c r="F195" s="4" t="str">
        <x:v>レイ始点から0 mの交点相当</x:v>
      </x:c>
      <x:c r="G195" s="4" t="str">
        <x:v>検出交点まで25 m</x:v>
      </x:c>
      <x:c r="H195" s="4" t="str">
        <x:v>未検出・50 m終端・検査対象外</x:v>
      </x:c>
      <x:c r="I195" s="4" t="str">
        <x:v>ビーム番号174; 相対角261°。実装レイ終点はθ+2πk/240。右手XYでは角度増加は左回り。旧コメントclockwiseと不一致。dは車両中心XYから対象表面までで、車体前端からの車間距離ではない。</x:v>
      </x:c>
      <x:c r="J195" s="4" t="str">
        <x:v>S01;S07;S08;S09;S10;S13;S17</x:v>
      </x:c>
      <x:c r="K195" s="4" t="str">
        <x:v>https://raw.githubusercontent.com/metadriverse/metadrive/85e5dadc6c7436d324348f6e3d8f8e680c06b4db/metadrive/obs/state_obs.py</x:v>
      </x:c>
    </x:row>
    <x:row r="196" ht="92" customHeight="1">
      <x:c r="A196" s="14" t="n">
        <x:v>194</x:v>
      </x:c>
      <x:c r="B196" s="4" t="str">
        <x:v>LiDARビーム175：車体前方から実装角度+262.5°（右）</x:v>
      </x:c>
      <x:c r="C196" s="4" t="str">
        <x:v>m</x:v>
      </x:c>
      <x:c r="D196" s="4" t="str">
        <x:v>検出時:d/50（レイHitFraction）; 未検出・検査対象外:1</x:v>
      </x:c>
      <x:c r="E196" s="4" t="str">
        <x:v>[0,1]（gaussian_noise=0, dropout_prob=0）</x:v>
      </x:c>
      <x:c r="F196" s="4" t="str">
        <x:v>レイ始点から0 mの交点相当</x:v>
      </x:c>
      <x:c r="G196" s="4" t="str">
        <x:v>検出交点まで25 m</x:v>
      </x:c>
      <x:c r="H196" s="4" t="str">
        <x:v>未検出・50 m終端・検査対象外</x:v>
      </x:c>
      <x:c r="I196" s="4" t="str">
        <x:v>ビーム番号175; 相対角262.5°。実装レイ終点はθ+2πk/240。右手XYでは角度増加は左回り。旧コメントclockwiseと不一致。dは車両中心XYから対象表面までで、車体前端からの車間距離ではない。</x:v>
      </x:c>
      <x:c r="J196" s="4" t="str">
        <x:v>S01;S07;S08;S09;S10;S13;S17</x:v>
      </x:c>
      <x:c r="K196" s="4" t="str">
        <x:v>https://raw.githubusercontent.com/metadriverse/metadrive/85e5dadc6c7436d324348f6e3d8f8e680c06b4db/metadrive/obs/state_obs.py</x:v>
      </x:c>
    </x:row>
    <x:row r="197" ht="92" customHeight="1">
      <x:c r="A197" s="14" t="n">
        <x:v>195</x:v>
      </x:c>
      <x:c r="B197" s="4" t="str">
        <x:v>LiDARビーム176：車体前方から実装角度+264°（右）</x:v>
      </x:c>
      <x:c r="C197" s="4" t="str">
        <x:v>m</x:v>
      </x:c>
      <x:c r="D197" s="4" t="str">
        <x:v>検出時:d/50（レイHitFraction）; 未検出・検査対象外:1</x:v>
      </x:c>
      <x:c r="E197" s="4" t="str">
        <x:v>[0,1]（gaussian_noise=0, dropout_prob=0）</x:v>
      </x:c>
      <x:c r="F197" s="4" t="str">
        <x:v>レイ始点から0 mの交点相当</x:v>
      </x:c>
      <x:c r="G197" s="4" t="str">
        <x:v>検出交点まで25 m</x:v>
      </x:c>
      <x:c r="H197" s="4" t="str">
        <x:v>未検出・50 m終端・検査対象外</x:v>
      </x:c>
      <x:c r="I197" s="4" t="str">
        <x:v>ビーム番号176; 相対角264°。実装レイ終点はθ+2πk/240。右手XYでは角度増加は左回り。旧コメントclockwiseと不一致。dは車両中心XYから対象表面までで、車体前端からの車間距離ではない。</x:v>
      </x:c>
      <x:c r="J197" s="4" t="str">
        <x:v>S01;S07;S08;S09;S10;S13;S17</x:v>
      </x:c>
      <x:c r="K197" s="4" t="str">
        <x:v>https://raw.githubusercontent.com/metadriverse/metadrive/85e5dadc6c7436d324348f6e3d8f8e680c06b4db/metadrive/obs/state_obs.py</x:v>
      </x:c>
    </x:row>
    <x:row r="198" ht="92" customHeight="1">
      <x:c r="A198" s="14" t="n">
        <x:v>196</x:v>
      </x:c>
      <x:c r="B198" s="4" t="str">
        <x:v>LiDARビーム177：車体前方から実装角度+265.5°（右）</x:v>
      </x:c>
      <x:c r="C198" s="4" t="str">
        <x:v>m</x:v>
      </x:c>
      <x:c r="D198" s="4" t="str">
        <x:v>検出時:d/50（レイHitFraction）; 未検出・検査対象外:1</x:v>
      </x:c>
      <x:c r="E198" s="4" t="str">
        <x:v>[0,1]（gaussian_noise=0, dropout_prob=0）</x:v>
      </x:c>
      <x:c r="F198" s="4" t="str">
        <x:v>レイ始点から0 mの交点相当</x:v>
      </x:c>
      <x:c r="G198" s="4" t="str">
        <x:v>検出交点まで25 m</x:v>
      </x:c>
      <x:c r="H198" s="4" t="str">
        <x:v>未検出・50 m終端・検査対象外</x:v>
      </x:c>
      <x:c r="I198" s="4" t="str">
        <x:v>ビーム番号177; 相対角265.5°。実装レイ終点はθ+2πk/240。右手XYでは角度増加は左回り。旧コメントclockwiseと不一致。dは車両中心XYから対象表面までで、車体前端からの車間距離ではない。</x:v>
      </x:c>
      <x:c r="J198" s="4" t="str">
        <x:v>S01;S07;S08;S09;S10;S13;S17</x:v>
      </x:c>
      <x:c r="K198" s="4" t="str">
        <x:v>https://raw.githubusercontent.com/metadriverse/metadrive/85e5dadc6c7436d324348f6e3d8f8e680c06b4db/metadrive/obs/state_obs.py</x:v>
      </x:c>
    </x:row>
    <x:row r="199" ht="92" customHeight="1">
      <x:c r="A199" s="14" t="n">
        <x:v>197</x:v>
      </x:c>
      <x:c r="B199" s="4" t="str">
        <x:v>LiDARビーム178：車体前方から実装角度+267°（右）</x:v>
      </x:c>
      <x:c r="C199" s="4" t="str">
        <x:v>m</x:v>
      </x:c>
      <x:c r="D199" s="4" t="str">
        <x:v>検出時:d/50（レイHitFraction）; 未検出・検査対象外:1</x:v>
      </x:c>
      <x:c r="E199" s="4" t="str">
        <x:v>[0,1]（gaussian_noise=0, dropout_prob=0）</x:v>
      </x:c>
      <x:c r="F199" s="4" t="str">
        <x:v>レイ始点から0 mの交点相当</x:v>
      </x:c>
      <x:c r="G199" s="4" t="str">
        <x:v>検出交点まで25 m</x:v>
      </x:c>
      <x:c r="H199" s="4" t="str">
        <x:v>未検出・50 m終端・検査対象外</x:v>
      </x:c>
      <x:c r="I199" s="4" t="str">
        <x:v>ビーム番号178; 相対角267°。実装レイ終点はθ+2πk/240。右手XYでは角度増加は左回り。旧コメントclockwiseと不一致。dは車両中心XYから対象表面までで、車体前端からの車間距離ではない。</x:v>
      </x:c>
      <x:c r="J199" s="4" t="str">
        <x:v>S01;S07;S08;S09;S10;S13;S17</x:v>
      </x:c>
      <x:c r="K199" s="4" t="str">
        <x:v>https://raw.githubusercontent.com/metadriverse/metadrive/85e5dadc6c7436d324348f6e3d8f8e680c06b4db/metadrive/obs/state_obs.py</x:v>
      </x:c>
    </x:row>
    <x:row r="200" ht="92" customHeight="1">
      <x:c r="A200" s="14" t="n">
        <x:v>198</x:v>
      </x:c>
      <x:c r="B200" s="4" t="str">
        <x:v>LiDARビーム179：車体前方から実装角度+268.5°（右）</x:v>
      </x:c>
      <x:c r="C200" s="4" t="str">
        <x:v>m</x:v>
      </x:c>
      <x:c r="D200" s="4" t="str">
        <x:v>検出時:d/50（レイHitFraction）; 未検出・検査対象外:1</x:v>
      </x:c>
      <x:c r="E200" s="4" t="str">
        <x:v>[0,1]（gaussian_noise=0, dropout_prob=0）</x:v>
      </x:c>
      <x:c r="F200" s="4" t="str">
        <x:v>レイ始点から0 mの交点相当</x:v>
      </x:c>
      <x:c r="G200" s="4" t="str">
        <x:v>検出交点まで25 m</x:v>
      </x:c>
      <x:c r="H200" s="4" t="str">
        <x:v>未検出・50 m終端・検査対象外</x:v>
      </x:c>
      <x:c r="I200" s="4" t="str">
        <x:v>ビーム番号179; 相対角268.5°。実装レイ終点はθ+2πk/240。右手XYでは角度増加は左回り。旧コメントclockwiseと不一致。dは車両中心XYから対象表面までで、車体前端からの車間距離ではない。</x:v>
      </x:c>
      <x:c r="J200" s="4" t="str">
        <x:v>S01;S07;S08;S09;S10;S13;S17</x:v>
      </x:c>
      <x:c r="K200" s="4" t="str">
        <x:v>https://raw.githubusercontent.com/metadriverse/metadrive/85e5dadc6c7436d324348f6e3d8f8e680c06b4db/metadrive/obs/state_obs.py</x:v>
      </x:c>
    </x:row>
    <x:row r="201" ht="92" customHeight="1">
      <x:c r="A201" s="14" t="n">
        <x:v>199</x:v>
      </x:c>
      <x:c r="B201" s="4" t="str">
        <x:v>LiDARビーム180：車体前方から実装角度+270°（右）</x:v>
      </x:c>
      <x:c r="C201" s="4" t="str">
        <x:v>m</x:v>
      </x:c>
      <x:c r="D201" s="4" t="str">
        <x:v>検出時:d/50（レイHitFraction）; 未検出・検査対象外:1</x:v>
      </x:c>
      <x:c r="E201" s="4" t="str">
        <x:v>[0,1]（gaussian_noise=0, dropout_prob=0）</x:v>
      </x:c>
      <x:c r="F201" s="4" t="str">
        <x:v>レイ始点から0 mの交点相当</x:v>
      </x:c>
      <x:c r="G201" s="4" t="str">
        <x:v>検出交点まで25 m</x:v>
      </x:c>
      <x:c r="H201" s="4" t="str">
        <x:v>未検出・50 m終端・検査対象外</x:v>
      </x:c>
      <x:c r="I201" s="4" t="str">
        <x:v>ビーム番号180; 相対角270°。実装レイ終点はθ+2πk/240。右手XYでは角度増加は左回り。旧コメントclockwiseと不一致。dは車両中心XYから対象表面までで、車体前端からの車間距離ではない。</x:v>
      </x:c>
      <x:c r="J201" s="4" t="str">
        <x:v>S01;S07;S08;S09;S10;S13;S17</x:v>
      </x:c>
      <x:c r="K201" s="4" t="str">
        <x:v>https://raw.githubusercontent.com/metadriverse/metadrive/85e5dadc6c7436d324348f6e3d8f8e680c06b4db/metadrive/obs/state_obs.py</x:v>
      </x:c>
    </x:row>
    <x:row r="202" ht="92" customHeight="1">
      <x:c r="A202" s="14" t="n">
        <x:v>200</x:v>
      </x:c>
      <x:c r="B202" s="4" t="str">
        <x:v>LiDARビーム181：車体前方から実装角度+271.5°（右）</x:v>
      </x:c>
      <x:c r="C202" s="4" t="str">
        <x:v>m</x:v>
      </x:c>
      <x:c r="D202" s="4" t="str">
        <x:v>検出時:d/50（レイHitFraction）; 未検出・検査対象外:1</x:v>
      </x:c>
      <x:c r="E202" s="4" t="str">
        <x:v>[0,1]（gaussian_noise=0, dropout_prob=0）</x:v>
      </x:c>
      <x:c r="F202" s="4" t="str">
        <x:v>レイ始点から0 mの交点相当</x:v>
      </x:c>
      <x:c r="G202" s="4" t="str">
        <x:v>検出交点まで25 m</x:v>
      </x:c>
      <x:c r="H202" s="4" t="str">
        <x:v>未検出・50 m終端・検査対象外</x:v>
      </x:c>
      <x:c r="I202" s="4" t="str">
        <x:v>ビーム番号181; 相対角271.5°。実装レイ終点はθ+2πk/240。右手XYでは角度増加は左回り。旧コメントclockwiseと不一致。dは車両中心XYから対象表面までで、車体前端からの車間距離ではない。</x:v>
      </x:c>
      <x:c r="J202" s="4" t="str">
        <x:v>S01;S07;S08;S09;S10;S13;S17</x:v>
      </x:c>
      <x:c r="K202" s="4" t="str">
        <x:v>https://raw.githubusercontent.com/metadriverse/metadrive/85e5dadc6c7436d324348f6e3d8f8e680c06b4db/metadrive/obs/state_obs.py</x:v>
      </x:c>
    </x:row>
    <x:row r="203" ht="92" customHeight="1">
      <x:c r="A203" s="14" t="n">
        <x:v>201</x:v>
      </x:c>
      <x:c r="B203" s="4" t="str">
        <x:v>LiDARビーム182：車体前方から実装角度+273°（右）</x:v>
      </x:c>
      <x:c r="C203" s="4" t="str">
        <x:v>m</x:v>
      </x:c>
      <x:c r="D203" s="4" t="str">
        <x:v>検出時:d/50（レイHitFraction）; 未検出・検査対象外:1</x:v>
      </x:c>
      <x:c r="E203" s="4" t="str">
        <x:v>[0,1]（gaussian_noise=0, dropout_prob=0）</x:v>
      </x:c>
      <x:c r="F203" s="4" t="str">
        <x:v>レイ始点から0 mの交点相当</x:v>
      </x:c>
      <x:c r="G203" s="4" t="str">
        <x:v>検出交点まで25 m</x:v>
      </x:c>
      <x:c r="H203" s="4" t="str">
        <x:v>未検出・50 m終端・検査対象外</x:v>
      </x:c>
      <x:c r="I203" s="4" t="str">
        <x:v>ビーム番号182; 相対角273°。実装レイ終点はθ+2πk/240。右手XYでは角度増加は左回り。旧コメントclockwiseと不一致。dは車両中心XYから対象表面までで、車体前端からの車間距離ではない。</x:v>
      </x:c>
      <x:c r="J203" s="4" t="str">
        <x:v>S01;S07;S08;S09;S10;S13;S17</x:v>
      </x:c>
      <x:c r="K203" s="4" t="str">
        <x:v>https://raw.githubusercontent.com/metadriverse/metadrive/85e5dadc6c7436d324348f6e3d8f8e680c06b4db/metadrive/obs/state_obs.py</x:v>
      </x:c>
    </x:row>
    <x:row r="204" ht="92" customHeight="1">
      <x:c r="A204" s="14" t="n">
        <x:v>202</x:v>
      </x:c>
      <x:c r="B204" s="4" t="str">
        <x:v>LiDARビーム183：車体前方から実装角度+274.5°（右）</x:v>
      </x:c>
      <x:c r="C204" s="4" t="str">
        <x:v>m</x:v>
      </x:c>
      <x:c r="D204" s="4" t="str">
        <x:v>検出時:d/50（レイHitFraction）; 未検出・検査対象外:1</x:v>
      </x:c>
      <x:c r="E204" s="4" t="str">
        <x:v>[0,1]（gaussian_noise=0, dropout_prob=0）</x:v>
      </x:c>
      <x:c r="F204" s="4" t="str">
        <x:v>レイ始点から0 mの交点相当</x:v>
      </x:c>
      <x:c r="G204" s="4" t="str">
        <x:v>検出交点まで25 m</x:v>
      </x:c>
      <x:c r="H204" s="4" t="str">
        <x:v>未検出・50 m終端・検査対象外</x:v>
      </x:c>
      <x:c r="I204" s="4" t="str">
        <x:v>ビーム番号183; 相対角274.5°。実装レイ終点はθ+2πk/240。右手XYでは角度増加は左回り。旧コメントclockwiseと不一致。dは車両中心XYから対象表面までで、車体前端からの車間距離ではない。</x:v>
      </x:c>
      <x:c r="J204" s="4" t="str">
        <x:v>S01;S07;S08;S09;S10;S13;S17</x:v>
      </x:c>
      <x:c r="K204" s="4" t="str">
        <x:v>https://raw.githubusercontent.com/metadriverse/metadrive/85e5dadc6c7436d324348f6e3d8f8e680c06b4db/metadrive/obs/state_obs.py</x:v>
      </x:c>
    </x:row>
    <x:row r="205" ht="92" customHeight="1">
      <x:c r="A205" s="14" t="n">
        <x:v>203</x:v>
      </x:c>
      <x:c r="B205" s="4" t="str">
        <x:v>LiDARビーム184：車体前方から実装角度+276°（右）</x:v>
      </x:c>
      <x:c r="C205" s="4" t="str">
        <x:v>m</x:v>
      </x:c>
      <x:c r="D205" s="4" t="str">
        <x:v>検出時:d/50（レイHitFraction）; 未検出・検査対象外:1</x:v>
      </x:c>
      <x:c r="E205" s="4" t="str">
        <x:v>[0,1]（gaussian_noise=0, dropout_prob=0）</x:v>
      </x:c>
      <x:c r="F205" s="4" t="str">
        <x:v>レイ始点から0 mの交点相当</x:v>
      </x:c>
      <x:c r="G205" s="4" t="str">
        <x:v>検出交点まで25 m</x:v>
      </x:c>
      <x:c r="H205" s="4" t="str">
        <x:v>未検出・50 m終端・検査対象外</x:v>
      </x:c>
      <x:c r="I205" s="4" t="str">
        <x:v>ビーム番号184; 相対角276°。実装レイ終点はθ+2πk/240。右手XYでは角度増加は左回り。旧コメントclockwiseと不一致。dは車両中心XYから対象表面までで、車体前端からの車間距離ではない。</x:v>
      </x:c>
      <x:c r="J205" s="4" t="str">
        <x:v>S01;S07;S08;S09;S10;S13;S17</x:v>
      </x:c>
      <x:c r="K205" s="4" t="str">
        <x:v>https://raw.githubusercontent.com/metadriverse/metadrive/85e5dadc6c7436d324348f6e3d8f8e680c06b4db/metadrive/obs/state_obs.py</x:v>
      </x:c>
    </x:row>
    <x:row r="206" ht="92" customHeight="1">
      <x:c r="A206" s="14" t="n">
        <x:v>204</x:v>
      </x:c>
      <x:c r="B206" s="4" t="str">
        <x:v>LiDARビーム185：車体前方から実装角度+277.5°（右）</x:v>
      </x:c>
      <x:c r="C206" s="4" t="str">
        <x:v>m</x:v>
      </x:c>
      <x:c r="D206" s="4" t="str">
        <x:v>検出時:d/50（レイHitFraction）; 未検出・検査対象外:1</x:v>
      </x:c>
      <x:c r="E206" s="4" t="str">
        <x:v>[0,1]（gaussian_noise=0, dropout_prob=0）</x:v>
      </x:c>
      <x:c r="F206" s="4" t="str">
        <x:v>レイ始点から0 mの交点相当</x:v>
      </x:c>
      <x:c r="G206" s="4" t="str">
        <x:v>検出交点まで25 m</x:v>
      </x:c>
      <x:c r="H206" s="4" t="str">
        <x:v>未検出・50 m終端・検査対象外</x:v>
      </x:c>
      <x:c r="I206" s="4" t="str">
        <x:v>ビーム番号185; 相対角277.5°。実装レイ終点はθ+2πk/240。右手XYでは角度増加は左回り。旧コメントclockwiseと不一致。dは車両中心XYから対象表面までで、車体前端からの車間距離ではない。</x:v>
      </x:c>
      <x:c r="J206" s="4" t="str">
        <x:v>S01;S07;S08;S09;S10;S13;S17</x:v>
      </x:c>
      <x:c r="K206" s="4" t="str">
        <x:v>https://raw.githubusercontent.com/metadriverse/metadrive/85e5dadc6c7436d324348f6e3d8f8e680c06b4db/metadrive/obs/state_obs.py</x:v>
      </x:c>
    </x:row>
    <x:row r="207" ht="92" customHeight="1">
      <x:c r="A207" s="14" t="n">
        <x:v>205</x:v>
      </x:c>
      <x:c r="B207" s="4" t="str">
        <x:v>LiDARビーム186：車体前方から実装角度+279°（右）</x:v>
      </x:c>
      <x:c r="C207" s="4" t="str">
        <x:v>m</x:v>
      </x:c>
      <x:c r="D207" s="4" t="str">
        <x:v>検出時:d/50（レイHitFraction）; 未検出・検査対象外:1</x:v>
      </x:c>
      <x:c r="E207" s="4" t="str">
        <x:v>[0,1]（gaussian_noise=0, dropout_prob=0）</x:v>
      </x:c>
      <x:c r="F207" s="4" t="str">
        <x:v>レイ始点から0 mの交点相当</x:v>
      </x:c>
      <x:c r="G207" s="4" t="str">
        <x:v>検出交点まで25 m</x:v>
      </x:c>
      <x:c r="H207" s="4" t="str">
        <x:v>未検出・50 m終端・検査対象外</x:v>
      </x:c>
      <x:c r="I207" s="4" t="str">
        <x:v>ビーム番号186; 相対角279°。実装レイ終点はθ+2πk/240。右手XYでは角度増加は左回り。旧コメントclockwiseと不一致。dは車両中心XYから対象表面までで、車体前端からの車間距離ではない。</x:v>
      </x:c>
      <x:c r="J207" s="4" t="str">
        <x:v>S01;S07;S08;S09;S10;S13;S17</x:v>
      </x:c>
      <x:c r="K207" s="4" t="str">
        <x:v>https://raw.githubusercontent.com/metadriverse/metadrive/85e5dadc6c7436d324348f6e3d8f8e680c06b4db/metadrive/obs/state_obs.py</x:v>
      </x:c>
    </x:row>
    <x:row r="208" ht="92" customHeight="1">
      <x:c r="A208" s="14" t="n">
        <x:v>206</x:v>
      </x:c>
      <x:c r="B208" s="4" t="str">
        <x:v>LiDARビーム187：車体前方から実装角度+280.5°（右）</x:v>
      </x:c>
      <x:c r="C208" s="4" t="str">
        <x:v>m</x:v>
      </x:c>
      <x:c r="D208" s="4" t="str">
        <x:v>検出時:d/50（レイHitFraction）; 未検出・検査対象外:1</x:v>
      </x:c>
      <x:c r="E208" s="4" t="str">
        <x:v>[0,1]（gaussian_noise=0, dropout_prob=0）</x:v>
      </x:c>
      <x:c r="F208" s="4" t="str">
        <x:v>レイ始点から0 mの交点相当</x:v>
      </x:c>
      <x:c r="G208" s="4" t="str">
        <x:v>検出交点まで25 m</x:v>
      </x:c>
      <x:c r="H208" s="4" t="str">
        <x:v>未検出・50 m終端・検査対象外</x:v>
      </x:c>
      <x:c r="I208" s="4" t="str">
        <x:v>ビーム番号187; 相対角280.5°。実装レイ終点はθ+2πk/240。右手XYでは角度増加は左回り。旧コメントclockwiseと不一致。dは車両中心XYから対象表面までで、車体前端からの車間距離ではない。</x:v>
      </x:c>
      <x:c r="J208" s="4" t="str">
        <x:v>S01;S07;S08;S09;S10;S13;S17</x:v>
      </x:c>
      <x:c r="K208" s="4" t="str">
        <x:v>https://raw.githubusercontent.com/metadriverse/metadrive/85e5dadc6c7436d324348f6e3d8f8e680c06b4db/metadrive/obs/state_obs.py</x:v>
      </x:c>
    </x:row>
    <x:row r="209" ht="92" customHeight="1">
      <x:c r="A209" s="14" t="n">
        <x:v>207</x:v>
      </x:c>
      <x:c r="B209" s="4" t="str">
        <x:v>LiDARビーム188：車体前方から実装角度+282°（右）</x:v>
      </x:c>
      <x:c r="C209" s="4" t="str">
        <x:v>m</x:v>
      </x:c>
      <x:c r="D209" s="4" t="str">
        <x:v>検出時:d/50（レイHitFraction）; 未検出・検査対象外:1</x:v>
      </x:c>
      <x:c r="E209" s="4" t="str">
        <x:v>[0,1]（gaussian_noise=0, dropout_prob=0）</x:v>
      </x:c>
      <x:c r="F209" s="4" t="str">
        <x:v>レイ始点から0 mの交点相当</x:v>
      </x:c>
      <x:c r="G209" s="4" t="str">
        <x:v>検出交点まで25 m</x:v>
      </x:c>
      <x:c r="H209" s="4" t="str">
        <x:v>未検出・50 m終端・検査対象外</x:v>
      </x:c>
      <x:c r="I209" s="4" t="str">
        <x:v>ビーム番号188; 相対角282°。実装レイ終点はθ+2πk/240。右手XYでは角度増加は左回り。旧コメントclockwiseと不一致。dは車両中心XYから対象表面までで、車体前端からの車間距離ではない。</x:v>
      </x:c>
      <x:c r="J209" s="4" t="str">
        <x:v>S01;S07;S08;S09;S10;S13;S17</x:v>
      </x:c>
      <x:c r="K209" s="4" t="str">
        <x:v>https://raw.githubusercontent.com/metadriverse/metadrive/85e5dadc6c7436d324348f6e3d8f8e680c06b4db/metadrive/obs/state_obs.py</x:v>
      </x:c>
    </x:row>
    <x:row r="210" ht="92" customHeight="1">
      <x:c r="A210" s="14" t="n">
        <x:v>208</x:v>
      </x:c>
      <x:c r="B210" s="4" t="str">
        <x:v>LiDARビーム189：車体前方から実装角度+283.5°（右）</x:v>
      </x:c>
      <x:c r="C210" s="4" t="str">
        <x:v>m</x:v>
      </x:c>
      <x:c r="D210" s="4" t="str">
        <x:v>検出時:d/50（レイHitFraction）; 未検出・検査対象外:1</x:v>
      </x:c>
      <x:c r="E210" s="4" t="str">
        <x:v>[0,1]（gaussian_noise=0, dropout_prob=0）</x:v>
      </x:c>
      <x:c r="F210" s="4" t="str">
        <x:v>レイ始点から0 mの交点相当</x:v>
      </x:c>
      <x:c r="G210" s="4" t="str">
        <x:v>検出交点まで25 m</x:v>
      </x:c>
      <x:c r="H210" s="4" t="str">
        <x:v>未検出・50 m終端・検査対象外</x:v>
      </x:c>
      <x:c r="I210" s="4" t="str">
        <x:v>ビーム番号189; 相対角283.5°。実装レイ終点はθ+2πk/240。右手XYでは角度増加は左回り。旧コメントclockwiseと不一致。dは車両中心XYから対象表面までで、車体前端からの車間距離ではない。</x:v>
      </x:c>
      <x:c r="J210" s="4" t="str">
        <x:v>S01;S07;S08;S09;S10;S13;S17</x:v>
      </x:c>
      <x:c r="K210" s="4" t="str">
        <x:v>https://raw.githubusercontent.com/metadriverse/metadrive/85e5dadc6c7436d324348f6e3d8f8e680c06b4db/metadrive/obs/state_obs.py</x:v>
      </x:c>
    </x:row>
    <x:row r="211" ht="92" customHeight="1">
      <x:c r="A211" s="14" t="n">
        <x:v>209</x:v>
      </x:c>
      <x:c r="B211" s="4" t="str">
        <x:v>LiDARビーム190：車体前方から実装角度+285°（右）</x:v>
      </x:c>
      <x:c r="C211" s="4" t="str">
        <x:v>m</x:v>
      </x:c>
      <x:c r="D211" s="4" t="str">
        <x:v>検出時:d/50（レイHitFraction）; 未検出・検査対象外:1</x:v>
      </x:c>
      <x:c r="E211" s="4" t="str">
        <x:v>[0,1]（gaussian_noise=0, dropout_prob=0）</x:v>
      </x:c>
      <x:c r="F211" s="4" t="str">
        <x:v>レイ始点から0 mの交点相当</x:v>
      </x:c>
      <x:c r="G211" s="4" t="str">
        <x:v>検出交点まで25 m</x:v>
      </x:c>
      <x:c r="H211" s="4" t="str">
        <x:v>未検出・50 m終端・検査対象外</x:v>
      </x:c>
      <x:c r="I211" s="4" t="str">
        <x:v>ビーム番号190; 相対角285°。実装レイ終点はθ+2πk/240。右手XYでは角度増加は左回り。旧コメントclockwiseと不一致。dは車両中心XYから対象表面までで、車体前端からの車間距離ではない。</x:v>
      </x:c>
      <x:c r="J211" s="4" t="str">
        <x:v>S01;S07;S08;S09;S10;S13;S17</x:v>
      </x:c>
      <x:c r="K211" s="4" t="str">
        <x:v>https://raw.githubusercontent.com/metadriverse/metadrive/85e5dadc6c7436d324348f6e3d8f8e680c06b4db/metadrive/obs/state_obs.py</x:v>
      </x:c>
    </x:row>
    <x:row r="212" ht="92" customHeight="1">
      <x:c r="A212" s="14" t="n">
        <x:v>210</x:v>
      </x:c>
      <x:c r="B212" s="4" t="str">
        <x:v>LiDARビーム191：車体前方から実装角度+286.5°（右）</x:v>
      </x:c>
      <x:c r="C212" s="4" t="str">
        <x:v>m</x:v>
      </x:c>
      <x:c r="D212" s="4" t="str">
        <x:v>検出時:d/50（レイHitFraction）; 未検出・検査対象外:1</x:v>
      </x:c>
      <x:c r="E212" s="4" t="str">
        <x:v>[0,1]（gaussian_noise=0, dropout_prob=0）</x:v>
      </x:c>
      <x:c r="F212" s="4" t="str">
        <x:v>レイ始点から0 mの交点相当</x:v>
      </x:c>
      <x:c r="G212" s="4" t="str">
        <x:v>検出交点まで25 m</x:v>
      </x:c>
      <x:c r="H212" s="4" t="str">
        <x:v>未検出・50 m終端・検査対象外</x:v>
      </x:c>
      <x:c r="I212" s="4" t="str">
        <x:v>ビーム番号191; 相対角286.5°。実装レイ終点はθ+2πk/240。右手XYでは角度増加は左回り。旧コメントclockwiseと不一致。dは車両中心XYから対象表面までで、車体前端からの車間距離ではない。</x:v>
      </x:c>
      <x:c r="J212" s="4" t="str">
        <x:v>S01;S07;S08;S09;S10;S13;S17</x:v>
      </x:c>
      <x:c r="K212" s="4" t="str">
        <x:v>https://raw.githubusercontent.com/metadriverse/metadrive/85e5dadc6c7436d324348f6e3d8f8e680c06b4db/metadrive/obs/state_obs.py</x:v>
      </x:c>
    </x:row>
    <x:row r="213" ht="92" customHeight="1">
      <x:c r="A213" s="14" t="n">
        <x:v>211</x:v>
      </x:c>
      <x:c r="B213" s="4" t="str">
        <x:v>LiDARビーム192：車体前方から実装角度+288°（右）</x:v>
      </x:c>
      <x:c r="C213" s="4" t="str">
        <x:v>m</x:v>
      </x:c>
      <x:c r="D213" s="4" t="str">
        <x:v>検出時:d/50（レイHitFraction）; 未検出・検査対象外:1</x:v>
      </x:c>
      <x:c r="E213" s="4" t="str">
        <x:v>[0,1]（gaussian_noise=0, dropout_prob=0）</x:v>
      </x:c>
      <x:c r="F213" s="4" t="str">
        <x:v>レイ始点から0 mの交点相当</x:v>
      </x:c>
      <x:c r="G213" s="4" t="str">
        <x:v>検出交点まで25 m</x:v>
      </x:c>
      <x:c r="H213" s="4" t="str">
        <x:v>未検出・50 m終端・検査対象外</x:v>
      </x:c>
      <x:c r="I213" s="4" t="str">
        <x:v>ビーム番号192; 相対角288°。実装レイ終点はθ+2πk/240。右手XYでは角度増加は左回り。旧コメントclockwiseと不一致。dは車両中心XYから対象表面までで、車体前端からの車間距離ではない。</x:v>
      </x:c>
      <x:c r="J213" s="4" t="str">
        <x:v>S01;S07;S08;S09;S10;S13;S17</x:v>
      </x:c>
      <x:c r="K213" s="4" t="str">
        <x:v>https://raw.githubusercontent.com/metadriverse/metadrive/85e5dadc6c7436d324348f6e3d8f8e680c06b4db/metadrive/obs/state_obs.py</x:v>
      </x:c>
    </x:row>
    <x:row r="214" ht="92" customHeight="1">
      <x:c r="A214" s="14" t="n">
        <x:v>212</x:v>
      </x:c>
      <x:c r="B214" s="4" t="str">
        <x:v>LiDARビーム193：車体前方から実装角度+289.5°（右）</x:v>
      </x:c>
      <x:c r="C214" s="4" t="str">
        <x:v>m</x:v>
      </x:c>
      <x:c r="D214" s="4" t="str">
        <x:v>検出時:d/50（レイHitFraction）; 未検出・検査対象外:1</x:v>
      </x:c>
      <x:c r="E214" s="4" t="str">
        <x:v>[0,1]（gaussian_noise=0, dropout_prob=0）</x:v>
      </x:c>
      <x:c r="F214" s="4" t="str">
        <x:v>レイ始点から0 mの交点相当</x:v>
      </x:c>
      <x:c r="G214" s="4" t="str">
        <x:v>検出交点まで25 m</x:v>
      </x:c>
      <x:c r="H214" s="4" t="str">
        <x:v>未検出・50 m終端・検査対象外</x:v>
      </x:c>
      <x:c r="I214" s="4" t="str">
        <x:v>ビーム番号193; 相対角289.5°。実装レイ終点はθ+2πk/240。右手XYでは角度増加は左回り。旧コメントclockwiseと不一致。dは車両中心XYから対象表面までで、車体前端からの車間距離ではない。</x:v>
      </x:c>
      <x:c r="J214" s="4" t="str">
        <x:v>S01;S07;S08;S09;S10;S13;S17</x:v>
      </x:c>
      <x:c r="K214" s="4" t="str">
        <x:v>https://raw.githubusercontent.com/metadriverse/metadrive/85e5dadc6c7436d324348f6e3d8f8e680c06b4db/metadrive/obs/state_obs.py</x:v>
      </x:c>
    </x:row>
    <x:row r="215" ht="92" customHeight="1">
      <x:c r="A215" s="14" t="n">
        <x:v>213</x:v>
      </x:c>
      <x:c r="B215" s="4" t="str">
        <x:v>LiDARビーム194：車体前方から実装角度+291°（右）</x:v>
      </x:c>
      <x:c r="C215" s="4" t="str">
        <x:v>m</x:v>
      </x:c>
      <x:c r="D215" s="4" t="str">
        <x:v>検出時:d/50（レイHitFraction）; 未検出・検査対象外:1</x:v>
      </x:c>
      <x:c r="E215" s="4" t="str">
        <x:v>[0,1]（gaussian_noise=0, dropout_prob=0）</x:v>
      </x:c>
      <x:c r="F215" s="4" t="str">
        <x:v>レイ始点から0 mの交点相当</x:v>
      </x:c>
      <x:c r="G215" s="4" t="str">
        <x:v>検出交点まで25 m</x:v>
      </x:c>
      <x:c r="H215" s="4" t="str">
        <x:v>未検出・50 m終端・検査対象外</x:v>
      </x:c>
      <x:c r="I215" s="4" t="str">
        <x:v>ビーム番号194; 相対角291°。実装レイ終点はθ+2πk/240。右手XYでは角度増加は左回り。旧コメントclockwiseと不一致。dは車両中心XYから対象表面までで、車体前端からの車間距離ではない。</x:v>
      </x:c>
      <x:c r="J215" s="4" t="str">
        <x:v>S01;S07;S08;S09;S10;S13;S17</x:v>
      </x:c>
      <x:c r="K215" s="4" t="str">
        <x:v>https://raw.githubusercontent.com/metadriverse/metadrive/85e5dadc6c7436d324348f6e3d8f8e680c06b4db/metadrive/obs/state_obs.py</x:v>
      </x:c>
    </x:row>
    <x:row r="216" ht="92" customHeight="1">
      <x:c r="A216" s="14" t="n">
        <x:v>214</x:v>
      </x:c>
      <x:c r="B216" s="4" t="str">
        <x:v>LiDARビーム195：車体前方から実装角度+292.5°（右）</x:v>
      </x:c>
      <x:c r="C216" s="4" t="str">
        <x:v>m</x:v>
      </x:c>
      <x:c r="D216" s="4" t="str">
        <x:v>検出時:d/50（レイHitFraction）; 未検出・検査対象外:1</x:v>
      </x:c>
      <x:c r="E216" s="4" t="str">
        <x:v>[0,1]（gaussian_noise=0, dropout_prob=0）</x:v>
      </x:c>
      <x:c r="F216" s="4" t="str">
        <x:v>レイ始点から0 mの交点相当</x:v>
      </x:c>
      <x:c r="G216" s="4" t="str">
        <x:v>検出交点まで25 m</x:v>
      </x:c>
      <x:c r="H216" s="4" t="str">
        <x:v>未検出・50 m終端・検査対象外</x:v>
      </x:c>
      <x:c r="I216" s="4" t="str">
        <x:v>ビーム番号195; 相対角292.5°。実装レイ終点はθ+2πk/240。右手XYでは角度増加は左回り。旧コメントclockwiseと不一致。dは車両中心XYから対象表面までで、車体前端からの車間距離ではない。</x:v>
      </x:c>
      <x:c r="J216" s="4" t="str">
        <x:v>S01;S07;S08;S09;S10;S13;S17</x:v>
      </x:c>
      <x:c r="K216" s="4" t="str">
        <x:v>https://raw.githubusercontent.com/metadriverse/metadrive/85e5dadc6c7436d324348f6e3d8f8e680c06b4db/metadrive/obs/state_obs.py</x:v>
      </x:c>
    </x:row>
    <x:row r="217" ht="92" customHeight="1">
      <x:c r="A217" s="14" t="n">
        <x:v>215</x:v>
      </x:c>
      <x:c r="B217" s="4" t="str">
        <x:v>LiDARビーム196：車体前方から実装角度+294°（右）</x:v>
      </x:c>
      <x:c r="C217" s="4" t="str">
        <x:v>m</x:v>
      </x:c>
      <x:c r="D217" s="4" t="str">
        <x:v>検出時:d/50（レイHitFraction）; 未検出・検査対象外:1</x:v>
      </x:c>
      <x:c r="E217" s="4" t="str">
        <x:v>[0,1]（gaussian_noise=0, dropout_prob=0）</x:v>
      </x:c>
      <x:c r="F217" s="4" t="str">
        <x:v>レイ始点から0 mの交点相当</x:v>
      </x:c>
      <x:c r="G217" s="4" t="str">
        <x:v>検出交点まで25 m</x:v>
      </x:c>
      <x:c r="H217" s="4" t="str">
        <x:v>未検出・50 m終端・検査対象外</x:v>
      </x:c>
      <x:c r="I217" s="4" t="str">
        <x:v>ビーム番号196; 相対角294°。実装レイ終点はθ+2πk/240。右手XYでは角度増加は左回り。旧コメントclockwiseと不一致。dは車両中心XYから対象表面までで、車体前端からの車間距離ではない。</x:v>
      </x:c>
      <x:c r="J217" s="4" t="str">
        <x:v>S01;S07;S08;S09;S10;S13;S17</x:v>
      </x:c>
      <x:c r="K217" s="4" t="str">
        <x:v>https://raw.githubusercontent.com/metadriverse/metadrive/85e5dadc6c7436d324348f6e3d8f8e680c06b4db/metadrive/obs/state_obs.py</x:v>
      </x:c>
    </x:row>
    <x:row r="218" ht="92" customHeight="1">
      <x:c r="A218" s="14" t="n">
        <x:v>216</x:v>
      </x:c>
      <x:c r="B218" s="4" t="str">
        <x:v>LiDARビーム197：車体前方から実装角度+295.5°（右）</x:v>
      </x:c>
      <x:c r="C218" s="4" t="str">
        <x:v>m</x:v>
      </x:c>
      <x:c r="D218" s="4" t="str">
        <x:v>検出時:d/50（レイHitFraction）; 未検出・検査対象外:1</x:v>
      </x:c>
      <x:c r="E218" s="4" t="str">
        <x:v>[0,1]（gaussian_noise=0, dropout_prob=0）</x:v>
      </x:c>
      <x:c r="F218" s="4" t="str">
        <x:v>レイ始点から0 mの交点相当</x:v>
      </x:c>
      <x:c r="G218" s="4" t="str">
        <x:v>検出交点まで25 m</x:v>
      </x:c>
      <x:c r="H218" s="4" t="str">
        <x:v>未検出・50 m終端・検査対象外</x:v>
      </x:c>
      <x:c r="I218" s="4" t="str">
        <x:v>ビーム番号197; 相対角295.5°。実装レイ終点はθ+2πk/240。右手XYでは角度増加は左回り。旧コメントclockwiseと不一致。dは車両中心XYから対象表面までで、車体前端からの車間距離ではない。</x:v>
      </x:c>
      <x:c r="J218" s="4" t="str">
        <x:v>S01;S07;S08;S09;S10;S13;S17</x:v>
      </x:c>
      <x:c r="K218" s="4" t="str">
        <x:v>https://raw.githubusercontent.com/metadriverse/metadrive/85e5dadc6c7436d324348f6e3d8f8e680c06b4db/metadrive/obs/state_obs.py</x:v>
      </x:c>
    </x:row>
    <x:row r="219" ht="92" customHeight="1">
      <x:c r="A219" s="14" t="n">
        <x:v>217</x:v>
      </x:c>
      <x:c r="B219" s="4" t="str">
        <x:v>LiDARビーム198：車体前方から実装角度+297°（右）</x:v>
      </x:c>
      <x:c r="C219" s="4" t="str">
        <x:v>m</x:v>
      </x:c>
      <x:c r="D219" s="4" t="str">
        <x:v>検出時:d/50（レイHitFraction）; 未検出・検査対象外:1</x:v>
      </x:c>
      <x:c r="E219" s="4" t="str">
        <x:v>[0,1]（gaussian_noise=0, dropout_prob=0）</x:v>
      </x:c>
      <x:c r="F219" s="4" t="str">
        <x:v>レイ始点から0 mの交点相当</x:v>
      </x:c>
      <x:c r="G219" s="4" t="str">
        <x:v>検出交点まで25 m</x:v>
      </x:c>
      <x:c r="H219" s="4" t="str">
        <x:v>未検出・50 m終端・検査対象外</x:v>
      </x:c>
      <x:c r="I219" s="4" t="str">
        <x:v>ビーム番号198; 相対角297°。実装レイ終点はθ+2πk/240。右手XYでは角度増加は左回り。旧コメントclockwiseと不一致。dは車両中心XYから対象表面までで、車体前端からの車間距離ではない。</x:v>
      </x:c>
      <x:c r="J219" s="4" t="str">
        <x:v>S01;S07;S08;S09;S10;S13;S17</x:v>
      </x:c>
      <x:c r="K219" s="4" t="str">
        <x:v>https://raw.githubusercontent.com/metadriverse/metadrive/85e5dadc6c7436d324348f6e3d8f8e680c06b4db/metadrive/obs/state_obs.py</x:v>
      </x:c>
    </x:row>
    <x:row r="220" ht="92" customHeight="1">
      <x:c r="A220" s="14" t="n">
        <x:v>218</x:v>
      </x:c>
      <x:c r="B220" s="4" t="str">
        <x:v>LiDARビーム199：車体前方から実装角度+298.5°（右）</x:v>
      </x:c>
      <x:c r="C220" s="4" t="str">
        <x:v>m</x:v>
      </x:c>
      <x:c r="D220" s="4" t="str">
        <x:v>検出時:d/50（レイHitFraction）; 未検出・検査対象外:1</x:v>
      </x:c>
      <x:c r="E220" s="4" t="str">
        <x:v>[0,1]（gaussian_noise=0, dropout_prob=0）</x:v>
      </x:c>
      <x:c r="F220" s="4" t="str">
        <x:v>レイ始点から0 mの交点相当</x:v>
      </x:c>
      <x:c r="G220" s="4" t="str">
        <x:v>検出交点まで25 m</x:v>
      </x:c>
      <x:c r="H220" s="4" t="str">
        <x:v>未検出・50 m終端・検査対象外</x:v>
      </x:c>
      <x:c r="I220" s="4" t="str">
        <x:v>ビーム番号199; 相対角298.5°。実装レイ終点はθ+2πk/240。右手XYでは角度増加は左回り。旧コメントclockwiseと不一致。dは車両中心XYから対象表面までで、車体前端からの車間距離ではない。</x:v>
      </x:c>
      <x:c r="J220" s="4" t="str">
        <x:v>S01;S07;S08;S09;S10;S13;S17</x:v>
      </x:c>
      <x:c r="K220" s="4" t="str">
        <x:v>https://raw.githubusercontent.com/metadriverse/metadrive/85e5dadc6c7436d324348f6e3d8f8e680c06b4db/metadrive/obs/state_obs.py</x:v>
      </x:c>
    </x:row>
    <x:row r="221" ht="92" customHeight="1">
      <x:c r="A221" s="14" t="n">
        <x:v>219</x:v>
      </x:c>
      <x:c r="B221" s="4" t="str">
        <x:v>LiDARビーム200：車体前方から実装角度+300°（右）</x:v>
      </x:c>
      <x:c r="C221" s="4" t="str">
        <x:v>m</x:v>
      </x:c>
      <x:c r="D221" s="4" t="str">
        <x:v>検出時:d/50（レイHitFraction）; 未検出・検査対象外:1</x:v>
      </x:c>
      <x:c r="E221" s="4" t="str">
        <x:v>[0,1]（gaussian_noise=0, dropout_prob=0）</x:v>
      </x:c>
      <x:c r="F221" s="4" t="str">
        <x:v>レイ始点から0 mの交点相当</x:v>
      </x:c>
      <x:c r="G221" s="4" t="str">
        <x:v>検出交点まで25 m</x:v>
      </x:c>
      <x:c r="H221" s="4" t="str">
        <x:v>未検出・50 m終端・検査対象外</x:v>
      </x:c>
      <x:c r="I221" s="4" t="str">
        <x:v>ビーム番号200; 相対角300°。実装レイ終点はθ+2πk/240。右手XYでは角度増加は左回り。旧コメントclockwiseと不一致。dは車両中心XYから対象表面までで、車体前端からの車間距離ではない。</x:v>
      </x:c>
      <x:c r="J221" s="4" t="str">
        <x:v>S01;S07;S08;S09;S10;S13;S17</x:v>
      </x:c>
      <x:c r="K221" s="4" t="str">
        <x:v>https://raw.githubusercontent.com/metadriverse/metadrive/85e5dadc6c7436d324348f6e3d8f8e680c06b4db/metadrive/obs/state_obs.py</x:v>
      </x:c>
    </x:row>
    <x:row r="222" ht="92" customHeight="1">
      <x:c r="A222" s="14" t="n">
        <x:v>220</x:v>
      </x:c>
      <x:c r="B222" s="4" t="str">
        <x:v>LiDARビーム201：車体前方から実装角度+301.5°（右）</x:v>
      </x:c>
      <x:c r="C222" s="4" t="str">
        <x:v>m</x:v>
      </x:c>
      <x:c r="D222" s="4" t="str">
        <x:v>検出時:d/50（レイHitFraction）; 未検出・検査対象外:1</x:v>
      </x:c>
      <x:c r="E222" s="4" t="str">
        <x:v>[0,1]（gaussian_noise=0, dropout_prob=0）</x:v>
      </x:c>
      <x:c r="F222" s="4" t="str">
        <x:v>レイ始点から0 mの交点相当</x:v>
      </x:c>
      <x:c r="G222" s="4" t="str">
        <x:v>検出交点まで25 m</x:v>
      </x:c>
      <x:c r="H222" s="4" t="str">
        <x:v>未検出・50 m終端・検査対象外</x:v>
      </x:c>
      <x:c r="I222" s="4" t="str">
        <x:v>ビーム番号201; 相対角301.5°。実装レイ終点はθ+2πk/240。右手XYでは角度増加は左回り。旧コメントclockwiseと不一致。dは車両中心XYから対象表面までで、車体前端からの車間距離ではない。</x:v>
      </x:c>
      <x:c r="J222" s="4" t="str">
        <x:v>S01;S07;S08;S09;S10;S13;S17</x:v>
      </x:c>
      <x:c r="K222" s="4" t="str">
        <x:v>https://raw.githubusercontent.com/metadriverse/metadrive/85e5dadc6c7436d324348f6e3d8f8e680c06b4db/metadrive/obs/state_obs.py</x:v>
      </x:c>
    </x:row>
    <x:row r="223" ht="92" customHeight="1">
      <x:c r="A223" s="14" t="n">
        <x:v>221</x:v>
      </x:c>
      <x:c r="B223" s="4" t="str">
        <x:v>LiDARビーム202：車体前方から実装角度+303°（右）</x:v>
      </x:c>
      <x:c r="C223" s="4" t="str">
        <x:v>m</x:v>
      </x:c>
      <x:c r="D223" s="4" t="str">
        <x:v>検出時:d/50（レイHitFraction）; 未検出・検査対象外:1</x:v>
      </x:c>
      <x:c r="E223" s="4" t="str">
        <x:v>[0,1]（gaussian_noise=0, dropout_prob=0）</x:v>
      </x:c>
      <x:c r="F223" s="4" t="str">
        <x:v>レイ始点から0 mの交点相当</x:v>
      </x:c>
      <x:c r="G223" s="4" t="str">
        <x:v>検出交点まで25 m</x:v>
      </x:c>
      <x:c r="H223" s="4" t="str">
        <x:v>未検出・50 m終端・検査対象外</x:v>
      </x:c>
      <x:c r="I223" s="4" t="str">
        <x:v>ビーム番号202; 相対角303°。実装レイ終点はθ+2πk/240。右手XYでは角度増加は左回り。旧コメントclockwiseと不一致。dは車両中心XYから対象表面までで、車体前端からの車間距離ではない。</x:v>
      </x:c>
      <x:c r="J223" s="4" t="str">
        <x:v>S01;S07;S08;S09;S10;S13;S17</x:v>
      </x:c>
      <x:c r="K223" s="4" t="str">
        <x:v>https://raw.githubusercontent.com/metadriverse/metadrive/85e5dadc6c7436d324348f6e3d8f8e680c06b4db/metadrive/obs/state_obs.py</x:v>
      </x:c>
    </x:row>
    <x:row r="224" ht="92" customHeight="1">
      <x:c r="A224" s="14" t="n">
        <x:v>222</x:v>
      </x:c>
      <x:c r="B224" s="4" t="str">
        <x:v>LiDARビーム203：車体前方から実装角度+304.5°（右）</x:v>
      </x:c>
      <x:c r="C224" s="4" t="str">
        <x:v>m</x:v>
      </x:c>
      <x:c r="D224" s="4" t="str">
        <x:v>検出時:d/50（レイHitFraction）; 未検出・検査対象外:1</x:v>
      </x:c>
      <x:c r="E224" s="4" t="str">
        <x:v>[0,1]（gaussian_noise=0, dropout_prob=0）</x:v>
      </x:c>
      <x:c r="F224" s="4" t="str">
        <x:v>レイ始点から0 mの交点相当</x:v>
      </x:c>
      <x:c r="G224" s="4" t="str">
        <x:v>検出交点まで25 m</x:v>
      </x:c>
      <x:c r="H224" s="4" t="str">
        <x:v>未検出・50 m終端・検査対象外</x:v>
      </x:c>
      <x:c r="I224" s="4" t="str">
        <x:v>ビーム番号203; 相対角304.5°。実装レイ終点はθ+2πk/240。右手XYでは角度増加は左回り。旧コメントclockwiseと不一致。dは車両中心XYから対象表面までで、車体前端からの車間距離ではない。</x:v>
      </x:c>
      <x:c r="J224" s="4" t="str">
        <x:v>S01;S07;S08;S09;S10;S13;S17</x:v>
      </x:c>
      <x:c r="K224" s="4" t="str">
        <x:v>https://raw.githubusercontent.com/metadriverse/metadrive/85e5dadc6c7436d324348f6e3d8f8e680c06b4db/metadrive/obs/state_obs.py</x:v>
      </x:c>
    </x:row>
    <x:row r="225" ht="92" customHeight="1">
      <x:c r="A225" s="14" t="n">
        <x:v>223</x:v>
      </x:c>
      <x:c r="B225" s="4" t="str">
        <x:v>LiDARビーム204：車体前方から実装角度+306°（右）</x:v>
      </x:c>
      <x:c r="C225" s="4" t="str">
        <x:v>m</x:v>
      </x:c>
      <x:c r="D225" s="4" t="str">
        <x:v>検出時:d/50（レイHitFraction）; 未検出・検査対象外:1</x:v>
      </x:c>
      <x:c r="E225" s="4" t="str">
        <x:v>[0,1]（gaussian_noise=0, dropout_prob=0）</x:v>
      </x:c>
      <x:c r="F225" s="4" t="str">
        <x:v>レイ始点から0 mの交点相当</x:v>
      </x:c>
      <x:c r="G225" s="4" t="str">
        <x:v>検出交点まで25 m</x:v>
      </x:c>
      <x:c r="H225" s="4" t="str">
        <x:v>未検出・50 m終端・検査対象外</x:v>
      </x:c>
      <x:c r="I225" s="4" t="str">
        <x:v>ビーム番号204; 相対角306°。実装レイ終点はθ+2πk/240。右手XYでは角度増加は左回り。旧コメントclockwiseと不一致。dは車両中心XYから対象表面までで、車体前端からの車間距離ではない。</x:v>
      </x:c>
      <x:c r="J225" s="4" t="str">
        <x:v>S01;S07;S08;S09;S10;S13;S17</x:v>
      </x:c>
      <x:c r="K225" s="4" t="str">
        <x:v>https://raw.githubusercontent.com/metadriverse/metadrive/85e5dadc6c7436d324348f6e3d8f8e680c06b4db/metadrive/obs/state_obs.py</x:v>
      </x:c>
    </x:row>
    <x:row r="226" ht="92" customHeight="1">
      <x:c r="A226" s="14" t="n">
        <x:v>224</x:v>
      </x:c>
      <x:c r="B226" s="4" t="str">
        <x:v>LiDARビーム205：車体前方から実装角度+307.5°（右）</x:v>
      </x:c>
      <x:c r="C226" s="4" t="str">
        <x:v>m</x:v>
      </x:c>
      <x:c r="D226" s="4" t="str">
        <x:v>検出時:d/50（レイHitFraction）; 未検出・検査対象外:1</x:v>
      </x:c>
      <x:c r="E226" s="4" t="str">
        <x:v>[0,1]（gaussian_noise=0, dropout_prob=0）</x:v>
      </x:c>
      <x:c r="F226" s="4" t="str">
        <x:v>レイ始点から0 mの交点相当</x:v>
      </x:c>
      <x:c r="G226" s="4" t="str">
        <x:v>検出交点まで25 m</x:v>
      </x:c>
      <x:c r="H226" s="4" t="str">
        <x:v>未検出・50 m終端・検査対象外</x:v>
      </x:c>
      <x:c r="I226" s="4" t="str">
        <x:v>ビーム番号205; 相対角307.5°。実装レイ終点はθ+2πk/240。右手XYでは角度増加は左回り。旧コメントclockwiseと不一致。dは車両中心XYから対象表面までで、車体前端からの車間距離ではない。</x:v>
      </x:c>
      <x:c r="J226" s="4" t="str">
        <x:v>S01;S07;S08;S09;S10;S13;S17</x:v>
      </x:c>
      <x:c r="K226" s="4" t="str">
        <x:v>https://raw.githubusercontent.com/metadriverse/metadrive/85e5dadc6c7436d324348f6e3d8f8e680c06b4db/metadrive/obs/state_obs.py</x:v>
      </x:c>
    </x:row>
    <x:row r="227" ht="92" customHeight="1">
      <x:c r="A227" s="14" t="n">
        <x:v>225</x:v>
      </x:c>
      <x:c r="B227" s="4" t="str">
        <x:v>LiDARビーム206：車体前方から実装角度+309°（右）</x:v>
      </x:c>
      <x:c r="C227" s="4" t="str">
        <x:v>m</x:v>
      </x:c>
      <x:c r="D227" s="4" t="str">
        <x:v>検出時:d/50（レイHitFraction）; 未検出・検査対象外:1</x:v>
      </x:c>
      <x:c r="E227" s="4" t="str">
        <x:v>[0,1]（gaussian_noise=0, dropout_prob=0）</x:v>
      </x:c>
      <x:c r="F227" s="4" t="str">
        <x:v>レイ始点から0 mの交点相当</x:v>
      </x:c>
      <x:c r="G227" s="4" t="str">
        <x:v>検出交点まで25 m</x:v>
      </x:c>
      <x:c r="H227" s="4" t="str">
        <x:v>未検出・50 m終端・検査対象外</x:v>
      </x:c>
      <x:c r="I227" s="4" t="str">
        <x:v>ビーム番号206; 相対角309°。実装レイ終点はθ+2πk/240。右手XYでは角度増加は左回り。旧コメントclockwiseと不一致。dは車両中心XYから対象表面までで、車体前端からの車間距離ではない。</x:v>
      </x:c>
      <x:c r="J227" s="4" t="str">
        <x:v>S01;S07;S08;S09;S10;S13;S17</x:v>
      </x:c>
      <x:c r="K227" s="4" t="str">
        <x:v>https://raw.githubusercontent.com/metadriverse/metadrive/85e5dadc6c7436d324348f6e3d8f8e680c06b4db/metadrive/obs/state_obs.py</x:v>
      </x:c>
    </x:row>
    <x:row r="228" ht="92" customHeight="1">
      <x:c r="A228" s="14" t="n">
        <x:v>226</x:v>
      </x:c>
      <x:c r="B228" s="4" t="str">
        <x:v>LiDARビーム207：車体前方から実装角度+310.5°（右）</x:v>
      </x:c>
      <x:c r="C228" s="4" t="str">
        <x:v>m</x:v>
      </x:c>
      <x:c r="D228" s="4" t="str">
        <x:v>検出時:d/50（レイHitFraction）; 未検出・検査対象外:1</x:v>
      </x:c>
      <x:c r="E228" s="4" t="str">
        <x:v>[0,1]（gaussian_noise=0, dropout_prob=0）</x:v>
      </x:c>
      <x:c r="F228" s="4" t="str">
        <x:v>レイ始点から0 mの交点相当</x:v>
      </x:c>
      <x:c r="G228" s="4" t="str">
        <x:v>検出交点まで25 m</x:v>
      </x:c>
      <x:c r="H228" s="4" t="str">
        <x:v>未検出・50 m終端・検査対象外</x:v>
      </x:c>
      <x:c r="I228" s="4" t="str">
        <x:v>ビーム番号207; 相対角310.5°。実装レイ終点はθ+2πk/240。右手XYでは角度増加は左回り。旧コメントclockwiseと不一致。dは車両中心XYから対象表面までで、車体前端からの車間距離ではない。</x:v>
      </x:c>
      <x:c r="J228" s="4" t="str">
        <x:v>S01;S07;S08;S09;S10;S13;S17</x:v>
      </x:c>
      <x:c r="K228" s="4" t="str">
        <x:v>https://raw.githubusercontent.com/metadriverse/metadrive/85e5dadc6c7436d324348f6e3d8f8e680c06b4db/metadrive/obs/state_obs.py</x:v>
      </x:c>
    </x:row>
    <x:row r="229" ht="92" customHeight="1">
      <x:c r="A229" s="14" t="n">
        <x:v>227</x:v>
      </x:c>
      <x:c r="B229" s="4" t="str">
        <x:v>LiDARビーム208：車体前方から実装角度+312°（右）</x:v>
      </x:c>
      <x:c r="C229" s="4" t="str">
        <x:v>m</x:v>
      </x:c>
      <x:c r="D229" s="4" t="str">
        <x:v>検出時:d/50（レイHitFraction）; 未検出・検査対象外:1</x:v>
      </x:c>
      <x:c r="E229" s="4" t="str">
        <x:v>[0,1]（gaussian_noise=0, dropout_prob=0）</x:v>
      </x:c>
      <x:c r="F229" s="4" t="str">
        <x:v>レイ始点から0 mの交点相当</x:v>
      </x:c>
      <x:c r="G229" s="4" t="str">
        <x:v>検出交点まで25 m</x:v>
      </x:c>
      <x:c r="H229" s="4" t="str">
        <x:v>未検出・50 m終端・検査対象外</x:v>
      </x:c>
      <x:c r="I229" s="4" t="str">
        <x:v>ビーム番号208; 相対角312°。実装レイ終点はθ+2πk/240。右手XYでは角度増加は左回り。旧コメントclockwiseと不一致。dは車両中心XYから対象表面までで、車体前端からの車間距離ではない。</x:v>
      </x:c>
      <x:c r="J229" s="4" t="str">
        <x:v>S01;S07;S08;S09;S10;S13;S17</x:v>
      </x:c>
      <x:c r="K229" s="4" t="str">
        <x:v>https://raw.githubusercontent.com/metadriverse/metadrive/85e5dadc6c7436d324348f6e3d8f8e680c06b4db/metadrive/obs/state_obs.py</x:v>
      </x:c>
    </x:row>
    <x:row r="230" ht="92" customHeight="1">
      <x:c r="A230" s="14" t="n">
        <x:v>228</x:v>
      </x:c>
      <x:c r="B230" s="4" t="str">
        <x:v>LiDARビーム209：車体前方から実装角度+313.5°（右）</x:v>
      </x:c>
      <x:c r="C230" s="4" t="str">
        <x:v>m</x:v>
      </x:c>
      <x:c r="D230" s="4" t="str">
        <x:v>検出時:d/50（レイHitFraction）; 未検出・検査対象外:1</x:v>
      </x:c>
      <x:c r="E230" s="4" t="str">
        <x:v>[0,1]（gaussian_noise=0, dropout_prob=0）</x:v>
      </x:c>
      <x:c r="F230" s="4" t="str">
        <x:v>レイ始点から0 mの交点相当</x:v>
      </x:c>
      <x:c r="G230" s="4" t="str">
        <x:v>検出交点まで25 m</x:v>
      </x:c>
      <x:c r="H230" s="4" t="str">
        <x:v>未検出・50 m終端・検査対象外</x:v>
      </x:c>
      <x:c r="I230" s="4" t="str">
        <x:v>ビーム番号209; 相対角313.5°。実装レイ終点はθ+2πk/240。右手XYでは角度増加は左回り。旧コメントclockwiseと不一致。dは車両中心XYから対象表面までで、車体前端からの車間距離ではない。</x:v>
      </x:c>
      <x:c r="J230" s="4" t="str">
        <x:v>S01;S07;S08;S09;S10;S13;S17</x:v>
      </x:c>
      <x:c r="K230" s="4" t="str">
        <x:v>https://raw.githubusercontent.com/metadriverse/metadrive/85e5dadc6c7436d324348f6e3d8f8e680c06b4db/metadrive/obs/state_obs.py</x:v>
      </x:c>
    </x:row>
    <x:row r="231" ht="92" customHeight="1">
      <x:c r="A231" s="14" t="n">
        <x:v>229</x:v>
      </x:c>
      <x:c r="B231" s="4" t="str">
        <x:v>LiDARビーム210：車体前方から実装角度+315°（前）</x:v>
      </x:c>
      <x:c r="C231" s="4" t="str">
        <x:v>m</x:v>
      </x:c>
      <x:c r="D231" s="4" t="str">
        <x:v>検出時:d/50（レイHitFraction）; 未検出・検査対象外:1</x:v>
      </x:c>
      <x:c r="E231" s="4" t="str">
        <x:v>[0,1]（gaussian_noise=0, dropout_prob=0）</x:v>
      </x:c>
      <x:c r="F231" s="4" t="str">
        <x:v>レイ始点から0 mの交点相当</x:v>
      </x:c>
      <x:c r="G231" s="4" t="str">
        <x:v>検出交点まで25 m</x:v>
      </x:c>
      <x:c r="H231" s="4" t="str">
        <x:v>未検出・50 m終端・検査対象外</x:v>
      </x:c>
      <x:c r="I231" s="4" t="str">
        <x:v>ビーム番号210; 相対角315°。実装レイ終点はθ+2πk/240。右手XYでは角度増加は左回り。旧コメントclockwiseと不一致。dは車両中心XYから対象表面までで、車体前端からの車間距離ではない。</x:v>
      </x:c>
      <x:c r="J231" s="4" t="str">
        <x:v>S01;S07;S08;S09;S10;S13;S17</x:v>
      </x:c>
      <x:c r="K231" s="4" t="str">
        <x:v>https://raw.githubusercontent.com/metadriverse/metadrive/85e5dadc6c7436d324348f6e3d8f8e680c06b4db/metadrive/obs/state_obs.py</x:v>
      </x:c>
    </x:row>
    <x:row r="232" ht="92" customHeight="1">
      <x:c r="A232" s="14" t="n">
        <x:v>230</x:v>
      </x:c>
      <x:c r="B232" s="4" t="str">
        <x:v>LiDARビーム211：車体前方から実装角度+316.5°（前）</x:v>
      </x:c>
      <x:c r="C232" s="4" t="str">
        <x:v>m</x:v>
      </x:c>
      <x:c r="D232" s="4" t="str">
        <x:v>検出時:d/50（レイHitFraction）; 未検出・検査対象外:1</x:v>
      </x:c>
      <x:c r="E232" s="4" t="str">
        <x:v>[0,1]（gaussian_noise=0, dropout_prob=0）</x:v>
      </x:c>
      <x:c r="F232" s="4" t="str">
        <x:v>レイ始点から0 mの交点相当</x:v>
      </x:c>
      <x:c r="G232" s="4" t="str">
        <x:v>検出交点まで25 m</x:v>
      </x:c>
      <x:c r="H232" s="4" t="str">
        <x:v>未検出・50 m終端・検査対象外</x:v>
      </x:c>
      <x:c r="I232" s="4" t="str">
        <x:v>ビーム番号211; 相対角316.5°。実装レイ終点はθ+2πk/240。右手XYでは角度増加は左回り。旧コメントclockwiseと不一致。dは車両中心XYから対象表面までで、車体前端からの車間距離ではない。</x:v>
      </x:c>
      <x:c r="J232" s="4" t="str">
        <x:v>S01;S07;S08;S09;S10;S13;S17</x:v>
      </x:c>
      <x:c r="K232" s="4" t="str">
        <x:v>https://raw.githubusercontent.com/metadriverse/metadrive/85e5dadc6c7436d324348f6e3d8f8e680c06b4db/metadrive/obs/state_obs.py</x:v>
      </x:c>
    </x:row>
    <x:row r="233" ht="92" customHeight="1">
      <x:c r="A233" s="14" t="n">
        <x:v>231</x:v>
      </x:c>
      <x:c r="B233" s="4" t="str">
        <x:v>LiDARビーム212：車体前方から実装角度+318°（前）</x:v>
      </x:c>
      <x:c r="C233" s="4" t="str">
        <x:v>m</x:v>
      </x:c>
      <x:c r="D233" s="4" t="str">
        <x:v>検出時:d/50（レイHitFraction）; 未検出・検査対象外:1</x:v>
      </x:c>
      <x:c r="E233" s="4" t="str">
        <x:v>[0,1]（gaussian_noise=0, dropout_prob=0）</x:v>
      </x:c>
      <x:c r="F233" s="4" t="str">
        <x:v>レイ始点から0 mの交点相当</x:v>
      </x:c>
      <x:c r="G233" s="4" t="str">
        <x:v>検出交点まで25 m</x:v>
      </x:c>
      <x:c r="H233" s="4" t="str">
        <x:v>未検出・50 m終端・検査対象外</x:v>
      </x:c>
      <x:c r="I233" s="4" t="str">
        <x:v>ビーム番号212; 相対角318°。実装レイ終点はθ+2πk/240。右手XYでは角度増加は左回り。旧コメントclockwiseと不一致。dは車両中心XYから対象表面までで、車体前端からの車間距離ではない。</x:v>
      </x:c>
      <x:c r="J233" s="4" t="str">
        <x:v>S01;S07;S08;S09;S10;S13;S17</x:v>
      </x:c>
      <x:c r="K233" s="4" t="str">
        <x:v>https://raw.githubusercontent.com/metadriverse/metadrive/85e5dadc6c7436d324348f6e3d8f8e680c06b4db/metadrive/obs/state_obs.py</x:v>
      </x:c>
    </x:row>
    <x:row r="234" ht="92" customHeight="1">
      <x:c r="A234" s="14" t="n">
        <x:v>232</x:v>
      </x:c>
      <x:c r="B234" s="4" t="str">
        <x:v>LiDARビーム213：車体前方から実装角度+319.5°（前）</x:v>
      </x:c>
      <x:c r="C234" s="4" t="str">
        <x:v>m</x:v>
      </x:c>
      <x:c r="D234" s="4" t="str">
        <x:v>検出時:d/50（レイHitFraction）; 未検出・検査対象外:1</x:v>
      </x:c>
      <x:c r="E234" s="4" t="str">
        <x:v>[0,1]（gaussian_noise=0, dropout_prob=0）</x:v>
      </x:c>
      <x:c r="F234" s="4" t="str">
        <x:v>レイ始点から0 mの交点相当</x:v>
      </x:c>
      <x:c r="G234" s="4" t="str">
        <x:v>検出交点まで25 m</x:v>
      </x:c>
      <x:c r="H234" s="4" t="str">
        <x:v>未検出・50 m終端・検査対象外</x:v>
      </x:c>
      <x:c r="I234" s="4" t="str">
        <x:v>ビーム番号213; 相対角319.5°。実装レイ終点はθ+2πk/240。右手XYでは角度増加は左回り。旧コメントclockwiseと不一致。dは車両中心XYから対象表面までで、車体前端からの車間距離ではない。</x:v>
      </x:c>
      <x:c r="J234" s="4" t="str">
        <x:v>S01;S07;S08;S09;S10;S13;S17</x:v>
      </x:c>
      <x:c r="K234" s="4" t="str">
        <x:v>https://raw.githubusercontent.com/metadriverse/metadrive/85e5dadc6c7436d324348f6e3d8f8e680c06b4db/metadrive/obs/state_obs.py</x:v>
      </x:c>
    </x:row>
    <x:row r="235" ht="92" customHeight="1">
      <x:c r="A235" s="14" t="n">
        <x:v>233</x:v>
      </x:c>
      <x:c r="B235" s="4" t="str">
        <x:v>LiDARビーム214：車体前方から実装角度+321°（前）</x:v>
      </x:c>
      <x:c r="C235" s="4" t="str">
        <x:v>m</x:v>
      </x:c>
      <x:c r="D235" s="4" t="str">
        <x:v>検出時:d/50（レイHitFraction）; 未検出・検査対象外:1</x:v>
      </x:c>
      <x:c r="E235" s="4" t="str">
        <x:v>[0,1]（gaussian_noise=0, dropout_prob=0）</x:v>
      </x:c>
      <x:c r="F235" s="4" t="str">
        <x:v>レイ始点から0 mの交点相当</x:v>
      </x:c>
      <x:c r="G235" s="4" t="str">
        <x:v>検出交点まで25 m</x:v>
      </x:c>
      <x:c r="H235" s="4" t="str">
        <x:v>未検出・50 m終端・検査対象外</x:v>
      </x:c>
      <x:c r="I235" s="4" t="str">
        <x:v>ビーム番号214; 相対角321°。実装レイ終点はθ+2πk/240。右手XYでは角度増加は左回り。旧コメントclockwiseと不一致。dは車両中心XYから対象表面までで、車体前端からの車間距離ではない。</x:v>
      </x:c>
      <x:c r="J235" s="4" t="str">
        <x:v>S01;S07;S08;S09;S10;S13;S17</x:v>
      </x:c>
      <x:c r="K235" s="4" t="str">
        <x:v>https://raw.githubusercontent.com/metadriverse/metadrive/85e5dadc6c7436d324348f6e3d8f8e680c06b4db/metadrive/obs/state_obs.py</x:v>
      </x:c>
    </x:row>
    <x:row r="236" ht="92" customHeight="1">
      <x:c r="A236" s="14" t="n">
        <x:v>234</x:v>
      </x:c>
      <x:c r="B236" s="4" t="str">
        <x:v>LiDARビーム215：車体前方から実装角度+322.5°（前）</x:v>
      </x:c>
      <x:c r="C236" s="4" t="str">
        <x:v>m</x:v>
      </x:c>
      <x:c r="D236" s="4" t="str">
        <x:v>検出時:d/50（レイHitFraction）; 未検出・検査対象外:1</x:v>
      </x:c>
      <x:c r="E236" s="4" t="str">
        <x:v>[0,1]（gaussian_noise=0, dropout_prob=0）</x:v>
      </x:c>
      <x:c r="F236" s="4" t="str">
        <x:v>レイ始点から0 mの交点相当</x:v>
      </x:c>
      <x:c r="G236" s="4" t="str">
        <x:v>検出交点まで25 m</x:v>
      </x:c>
      <x:c r="H236" s="4" t="str">
        <x:v>未検出・50 m終端・検査対象外</x:v>
      </x:c>
      <x:c r="I236" s="4" t="str">
        <x:v>ビーム番号215; 相対角322.5°。実装レイ終点はθ+2πk/240。右手XYでは角度増加は左回り。旧コメントclockwiseと不一致。dは車両中心XYから対象表面までで、車体前端からの車間距離ではない。</x:v>
      </x:c>
      <x:c r="J236" s="4" t="str">
        <x:v>S01;S07;S08;S09;S10;S13;S17</x:v>
      </x:c>
      <x:c r="K236" s="4" t="str">
        <x:v>https://raw.githubusercontent.com/metadriverse/metadrive/85e5dadc6c7436d324348f6e3d8f8e680c06b4db/metadrive/obs/state_obs.py</x:v>
      </x:c>
    </x:row>
    <x:row r="237" ht="92" customHeight="1">
      <x:c r="A237" s="14" t="n">
        <x:v>235</x:v>
      </x:c>
      <x:c r="B237" s="4" t="str">
        <x:v>LiDARビーム216：車体前方から実装角度+324°（前）</x:v>
      </x:c>
      <x:c r="C237" s="4" t="str">
        <x:v>m</x:v>
      </x:c>
      <x:c r="D237" s="4" t="str">
        <x:v>検出時:d/50（レイHitFraction）; 未検出・検査対象外:1</x:v>
      </x:c>
      <x:c r="E237" s="4" t="str">
        <x:v>[0,1]（gaussian_noise=0, dropout_prob=0）</x:v>
      </x:c>
      <x:c r="F237" s="4" t="str">
        <x:v>レイ始点から0 mの交点相当</x:v>
      </x:c>
      <x:c r="G237" s="4" t="str">
        <x:v>検出交点まで25 m</x:v>
      </x:c>
      <x:c r="H237" s="4" t="str">
        <x:v>未検出・50 m終端・検査対象外</x:v>
      </x:c>
      <x:c r="I237" s="4" t="str">
        <x:v>ビーム番号216; 相対角324°。実装レイ終点はθ+2πk/240。右手XYでは角度増加は左回り。旧コメントclockwiseと不一致。dは車両中心XYから対象表面までで、車体前端からの車間距離ではない。</x:v>
      </x:c>
      <x:c r="J237" s="4" t="str">
        <x:v>S01;S07;S08;S09;S10;S13;S17</x:v>
      </x:c>
      <x:c r="K237" s="4" t="str">
        <x:v>https://raw.githubusercontent.com/metadriverse/metadrive/85e5dadc6c7436d324348f6e3d8f8e680c06b4db/metadrive/obs/state_obs.py</x:v>
      </x:c>
    </x:row>
    <x:row r="238" ht="92" customHeight="1">
      <x:c r="A238" s="14" t="n">
        <x:v>236</x:v>
      </x:c>
      <x:c r="B238" s="4" t="str">
        <x:v>LiDARビーム217：車体前方から実装角度+325.5°（前）</x:v>
      </x:c>
      <x:c r="C238" s="4" t="str">
        <x:v>m</x:v>
      </x:c>
      <x:c r="D238" s="4" t="str">
        <x:v>検出時:d/50（レイHitFraction）; 未検出・検査対象外:1</x:v>
      </x:c>
      <x:c r="E238" s="4" t="str">
        <x:v>[0,1]（gaussian_noise=0, dropout_prob=0）</x:v>
      </x:c>
      <x:c r="F238" s="4" t="str">
        <x:v>レイ始点から0 mの交点相当</x:v>
      </x:c>
      <x:c r="G238" s="4" t="str">
        <x:v>検出交点まで25 m</x:v>
      </x:c>
      <x:c r="H238" s="4" t="str">
        <x:v>未検出・50 m終端・検査対象外</x:v>
      </x:c>
      <x:c r="I238" s="4" t="str">
        <x:v>ビーム番号217; 相対角325.5°。実装レイ終点はθ+2πk/240。右手XYでは角度増加は左回り。旧コメントclockwiseと不一致。dは車両中心XYから対象表面までで、車体前端からの車間距離ではない。</x:v>
      </x:c>
      <x:c r="J238" s="4" t="str">
        <x:v>S01;S07;S08;S09;S10;S13;S17</x:v>
      </x:c>
      <x:c r="K238" s="4" t="str">
        <x:v>https://raw.githubusercontent.com/metadriverse/metadrive/85e5dadc6c7436d324348f6e3d8f8e680c06b4db/metadrive/obs/state_obs.py</x:v>
      </x:c>
    </x:row>
    <x:row r="239" ht="92" customHeight="1">
      <x:c r="A239" s="14" t="n">
        <x:v>237</x:v>
      </x:c>
      <x:c r="B239" s="4" t="str">
        <x:v>LiDARビーム218：車体前方から実装角度+327°（前）</x:v>
      </x:c>
      <x:c r="C239" s="4" t="str">
        <x:v>m</x:v>
      </x:c>
      <x:c r="D239" s="4" t="str">
        <x:v>検出時:d/50（レイHitFraction）; 未検出・検査対象外:1</x:v>
      </x:c>
      <x:c r="E239" s="4" t="str">
        <x:v>[0,1]（gaussian_noise=0, dropout_prob=0）</x:v>
      </x:c>
      <x:c r="F239" s="4" t="str">
        <x:v>レイ始点から0 mの交点相当</x:v>
      </x:c>
      <x:c r="G239" s="4" t="str">
        <x:v>検出交点まで25 m</x:v>
      </x:c>
      <x:c r="H239" s="4" t="str">
        <x:v>未検出・50 m終端・検査対象外</x:v>
      </x:c>
      <x:c r="I239" s="4" t="str">
        <x:v>ビーム番号218; 相対角327°。実装レイ終点はθ+2πk/240。右手XYでは角度増加は左回り。旧コメントclockwiseと不一致。dは車両中心XYから対象表面までで、車体前端からの車間距離ではない。</x:v>
      </x:c>
      <x:c r="J239" s="4" t="str">
        <x:v>S01;S07;S08;S09;S10;S13;S17</x:v>
      </x:c>
      <x:c r="K239" s="4" t="str">
        <x:v>https://raw.githubusercontent.com/metadriverse/metadrive/85e5dadc6c7436d324348f6e3d8f8e680c06b4db/metadrive/obs/state_obs.py</x:v>
      </x:c>
    </x:row>
    <x:row r="240" ht="92" customHeight="1">
      <x:c r="A240" s="14" t="n">
        <x:v>238</x:v>
      </x:c>
      <x:c r="B240" s="4" t="str">
        <x:v>LiDARビーム219：車体前方から実装角度+328.5°（前）</x:v>
      </x:c>
      <x:c r="C240" s="4" t="str">
        <x:v>m</x:v>
      </x:c>
      <x:c r="D240" s="4" t="str">
        <x:v>検出時:d/50（レイHitFraction）; 未検出・検査対象外:1</x:v>
      </x:c>
      <x:c r="E240" s="4" t="str">
        <x:v>[0,1]（gaussian_noise=0, dropout_prob=0）</x:v>
      </x:c>
      <x:c r="F240" s="4" t="str">
        <x:v>レイ始点から0 mの交点相当</x:v>
      </x:c>
      <x:c r="G240" s="4" t="str">
        <x:v>検出交点まで25 m</x:v>
      </x:c>
      <x:c r="H240" s="4" t="str">
        <x:v>未検出・50 m終端・検査対象外</x:v>
      </x:c>
      <x:c r="I240" s="4" t="str">
        <x:v>ビーム番号219; 相対角328.5°。実装レイ終点はθ+2πk/240。右手XYでは角度増加は左回り。旧コメントclockwiseと不一致。dは車両中心XYから対象表面までで、車体前端からの車間距離ではない。</x:v>
      </x:c>
      <x:c r="J240" s="4" t="str">
        <x:v>S01;S07;S08;S09;S10;S13;S17</x:v>
      </x:c>
      <x:c r="K240" s="4" t="str">
        <x:v>https://raw.githubusercontent.com/metadriverse/metadrive/85e5dadc6c7436d324348f6e3d8f8e680c06b4db/metadrive/obs/state_obs.py</x:v>
      </x:c>
    </x:row>
    <x:row r="241" ht="92" customHeight="1">
      <x:c r="A241" s="14" t="n">
        <x:v>239</x:v>
      </x:c>
      <x:c r="B241" s="4" t="str">
        <x:v>LiDARビーム220：車体前方から実装角度+330°（前）</x:v>
      </x:c>
      <x:c r="C241" s="4" t="str">
        <x:v>m</x:v>
      </x:c>
      <x:c r="D241" s="4" t="str">
        <x:v>検出時:d/50（レイHitFraction）; 未検出・検査対象外:1</x:v>
      </x:c>
      <x:c r="E241" s="4" t="str">
        <x:v>[0,1]（gaussian_noise=0, dropout_prob=0）</x:v>
      </x:c>
      <x:c r="F241" s="4" t="str">
        <x:v>レイ始点から0 mの交点相当</x:v>
      </x:c>
      <x:c r="G241" s="4" t="str">
        <x:v>検出交点まで25 m</x:v>
      </x:c>
      <x:c r="H241" s="4" t="str">
        <x:v>未検出・50 m終端・検査対象外</x:v>
      </x:c>
      <x:c r="I241" s="4" t="str">
        <x:v>ビーム番号220; 相対角330°。実装レイ終点はθ+2πk/240。右手XYでは角度増加は左回り。旧コメントclockwiseと不一致。dは車両中心XYから対象表面までで、車体前端からの車間距離ではない。</x:v>
      </x:c>
      <x:c r="J241" s="4" t="str">
        <x:v>S01;S07;S08;S09;S10;S13;S17</x:v>
      </x:c>
      <x:c r="K241" s="4" t="str">
        <x:v>https://raw.githubusercontent.com/metadriverse/metadrive/85e5dadc6c7436d324348f6e3d8f8e680c06b4db/metadrive/obs/state_obs.py</x:v>
      </x:c>
    </x:row>
    <x:row r="242" ht="92" customHeight="1">
      <x:c r="A242" s="14" t="n">
        <x:v>240</x:v>
      </x:c>
      <x:c r="B242" s="4" t="str">
        <x:v>LiDARビーム221：車体前方から実装角度+331.5°（前）</x:v>
      </x:c>
      <x:c r="C242" s="4" t="str">
        <x:v>m</x:v>
      </x:c>
      <x:c r="D242" s="4" t="str">
        <x:v>検出時:d/50（レイHitFraction）; 未検出・検査対象外:1</x:v>
      </x:c>
      <x:c r="E242" s="4" t="str">
        <x:v>[0,1]（gaussian_noise=0, dropout_prob=0）</x:v>
      </x:c>
      <x:c r="F242" s="4" t="str">
        <x:v>レイ始点から0 mの交点相当</x:v>
      </x:c>
      <x:c r="G242" s="4" t="str">
        <x:v>検出交点まで25 m</x:v>
      </x:c>
      <x:c r="H242" s="4" t="str">
        <x:v>未検出・50 m終端・検査対象外</x:v>
      </x:c>
      <x:c r="I242" s="4" t="str">
        <x:v>ビーム番号221; 相対角331.5°。実装レイ終点はθ+2πk/240。右手XYでは角度増加は左回り。旧コメントclockwiseと不一致。dは車両中心XYから対象表面までで、車体前端からの車間距離ではない。</x:v>
      </x:c>
      <x:c r="J242" s="4" t="str">
        <x:v>S01;S07;S08;S09;S10;S13;S17</x:v>
      </x:c>
      <x:c r="K242" s="4" t="str">
        <x:v>https://raw.githubusercontent.com/metadriverse/metadrive/85e5dadc6c7436d324348f6e3d8f8e680c06b4db/metadrive/obs/state_obs.py</x:v>
      </x:c>
    </x:row>
    <x:row r="243" ht="92" customHeight="1">
      <x:c r="A243" s="14" t="n">
        <x:v>241</x:v>
      </x:c>
      <x:c r="B243" s="4" t="str">
        <x:v>LiDARビーム222：車体前方から実装角度+333°（前）</x:v>
      </x:c>
      <x:c r="C243" s="4" t="str">
        <x:v>m</x:v>
      </x:c>
      <x:c r="D243" s="4" t="str">
        <x:v>検出時:d/50（レイHitFraction）; 未検出・検査対象外:1</x:v>
      </x:c>
      <x:c r="E243" s="4" t="str">
        <x:v>[0,1]（gaussian_noise=0, dropout_prob=0）</x:v>
      </x:c>
      <x:c r="F243" s="4" t="str">
        <x:v>レイ始点から0 mの交点相当</x:v>
      </x:c>
      <x:c r="G243" s="4" t="str">
        <x:v>検出交点まで25 m</x:v>
      </x:c>
      <x:c r="H243" s="4" t="str">
        <x:v>未検出・50 m終端・検査対象外</x:v>
      </x:c>
      <x:c r="I243" s="4" t="str">
        <x:v>ビーム番号222; 相対角333°。実装レイ終点はθ+2πk/240。右手XYでは角度増加は左回り。旧コメントclockwiseと不一致。dは車両中心XYから対象表面までで、車体前端からの車間距離ではない。</x:v>
      </x:c>
      <x:c r="J243" s="4" t="str">
        <x:v>S01;S07;S08;S09;S10;S13;S17</x:v>
      </x:c>
      <x:c r="K243" s="4" t="str">
        <x:v>https://raw.githubusercontent.com/metadriverse/metadrive/85e5dadc6c7436d324348f6e3d8f8e680c06b4db/metadrive/obs/state_obs.py</x:v>
      </x:c>
    </x:row>
    <x:row r="244" ht="92" customHeight="1">
      <x:c r="A244" s="14" t="n">
        <x:v>242</x:v>
      </x:c>
      <x:c r="B244" s="4" t="str">
        <x:v>LiDARビーム223：車体前方から実装角度+334.5°（前）</x:v>
      </x:c>
      <x:c r="C244" s="4" t="str">
        <x:v>m</x:v>
      </x:c>
      <x:c r="D244" s="4" t="str">
        <x:v>検出時:d/50（レイHitFraction）; 未検出・検査対象外:1</x:v>
      </x:c>
      <x:c r="E244" s="4" t="str">
        <x:v>[0,1]（gaussian_noise=0, dropout_prob=0）</x:v>
      </x:c>
      <x:c r="F244" s="4" t="str">
        <x:v>レイ始点から0 mの交点相当</x:v>
      </x:c>
      <x:c r="G244" s="4" t="str">
        <x:v>検出交点まで25 m</x:v>
      </x:c>
      <x:c r="H244" s="4" t="str">
        <x:v>未検出・50 m終端・検査対象外</x:v>
      </x:c>
      <x:c r="I244" s="4" t="str">
        <x:v>ビーム番号223; 相対角334.5°。実装レイ終点はθ+2πk/240。右手XYでは角度増加は左回り。旧コメントclockwiseと不一致。dは車両中心XYから対象表面までで、車体前端からの車間距離ではない。</x:v>
      </x:c>
      <x:c r="J244" s="4" t="str">
        <x:v>S01;S07;S08;S09;S10;S13;S17</x:v>
      </x:c>
      <x:c r="K244" s="4" t="str">
        <x:v>https://raw.githubusercontent.com/metadriverse/metadrive/85e5dadc6c7436d324348f6e3d8f8e680c06b4db/metadrive/obs/state_obs.py</x:v>
      </x:c>
    </x:row>
    <x:row r="245" ht="92" customHeight="1">
      <x:c r="A245" s="14" t="n">
        <x:v>243</x:v>
      </x:c>
      <x:c r="B245" s="4" t="str">
        <x:v>LiDARビーム224：車体前方から実装角度+336°（前）</x:v>
      </x:c>
      <x:c r="C245" s="4" t="str">
        <x:v>m</x:v>
      </x:c>
      <x:c r="D245" s="4" t="str">
        <x:v>検出時:d/50（レイHitFraction）; 未検出・検査対象外:1</x:v>
      </x:c>
      <x:c r="E245" s="4" t="str">
        <x:v>[0,1]（gaussian_noise=0, dropout_prob=0）</x:v>
      </x:c>
      <x:c r="F245" s="4" t="str">
        <x:v>レイ始点から0 mの交点相当</x:v>
      </x:c>
      <x:c r="G245" s="4" t="str">
        <x:v>検出交点まで25 m</x:v>
      </x:c>
      <x:c r="H245" s="4" t="str">
        <x:v>未検出・50 m終端・検査対象外</x:v>
      </x:c>
      <x:c r="I245" s="4" t="str">
        <x:v>ビーム番号224; 相対角336°。実装レイ終点はθ+2πk/240。右手XYでは角度増加は左回り。旧コメントclockwiseと不一致。dは車両中心XYから対象表面までで、車体前端からの車間距離ではない。</x:v>
      </x:c>
      <x:c r="J245" s="4" t="str">
        <x:v>S01;S07;S08;S09;S10;S13;S17</x:v>
      </x:c>
      <x:c r="K245" s="4" t="str">
        <x:v>https://raw.githubusercontent.com/metadriverse/metadrive/85e5dadc6c7436d324348f6e3d8f8e680c06b4db/metadrive/obs/state_obs.py</x:v>
      </x:c>
    </x:row>
    <x:row r="246" ht="92" customHeight="1">
      <x:c r="A246" s="14" t="n">
        <x:v>244</x:v>
      </x:c>
      <x:c r="B246" s="4" t="str">
        <x:v>LiDARビーム225：車体前方から実装角度+337.5°（前）</x:v>
      </x:c>
      <x:c r="C246" s="4" t="str">
        <x:v>m</x:v>
      </x:c>
      <x:c r="D246" s="4" t="str">
        <x:v>検出時:d/50（レイHitFraction）; 未検出・検査対象外:1</x:v>
      </x:c>
      <x:c r="E246" s="4" t="str">
        <x:v>[0,1]（gaussian_noise=0, dropout_prob=0）</x:v>
      </x:c>
      <x:c r="F246" s="4" t="str">
        <x:v>レイ始点から0 mの交点相当</x:v>
      </x:c>
      <x:c r="G246" s="4" t="str">
        <x:v>検出交点まで25 m</x:v>
      </x:c>
      <x:c r="H246" s="4" t="str">
        <x:v>未検出・50 m終端・検査対象外</x:v>
      </x:c>
      <x:c r="I246" s="4" t="str">
        <x:v>ビーム番号225; 相対角337.5°。実装レイ終点はθ+2πk/240。右手XYでは角度増加は左回り。旧コメントclockwiseと不一致。dは車両中心XYから対象表面までで、車体前端からの車間距離ではない。</x:v>
      </x:c>
      <x:c r="J246" s="4" t="str">
        <x:v>S01;S07;S08;S09;S10;S13;S17</x:v>
      </x:c>
      <x:c r="K246" s="4" t="str">
        <x:v>https://raw.githubusercontent.com/metadriverse/metadrive/85e5dadc6c7436d324348f6e3d8f8e680c06b4db/metadrive/obs/state_obs.py</x:v>
      </x:c>
    </x:row>
    <x:row r="247" ht="92" customHeight="1">
      <x:c r="A247" s="14" t="n">
        <x:v>245</x:v>
      </x:c>
      <x:c r="B247" s="4" t="str">
        <x:v>LiDARビーム226：車体前方から実装角度+339°（前）</x:v>
      </x:c>
      <x:c r="C247" s="4" t="str">
        <x:v>m</x:v>
      </x:c>
      <x:c r="D247" s="4" t="str">
        <x:v>検出時:d/50（レイHitFraction）; 未検出・検査対象外:1</x:v>
      </x:c>
      <x:c r="E247" s="4" t="str">
        <x:v>[0,1]（gaussian_noise=0, dropout_prob=0）</x:v>
      </x:c>
      <x:c r="F247" s="4" t="str">
        <x:v>レイ始点から0 mの交点相当</x:v>
      </x:c>
      <x:c r="G247" s="4" t="str">
        <x:v>検出交点まで25 m</x:v>
      </x:c>
      <x:c r="H247" s="4" t="str">
        <x:v>未検出・50 m終端・検査対象外</x:v>
      </x:c>
      <x:c r="I247" s="4" t="str">
        <x:v>ビーム番号226; 相対角339°。実装レイ終点はθ+2πk/240。右手XYでは角度増加は左回り。旧コメントclockwiseと不一致。dは車両中心XYから対象表面までで、車体前端からの車間距離ではない。</x:v>
      </x:c>
      <x:c r="J247" s="4" t="str">
        <x:v>S01;S07;S08;S09;S10;S13;S17</x:v>
      </x:c>
      <x:c r="K247" s="4" t="str">
        <x:v>https://raw.githubusercontent.com/metadriverse/metadrive/85e5dadc6c7436d324348f6e3d8f8e680c06b4db/metadrive/obs/state_obs.py</x:v>
      </x:c>
    </x:row>
    <x:row r="248" ht="92" customHeight="1">
      <x:c r="A248" s="14" t="n">
        <x:v>246</x:v>
      </x:c>
      <x:c r="B248" s="4" t="str">
        <x:v>LiDARビーム227：車体前方から実装角度+340.5°（前）</x:v>
      </x:c>
      <x:c r="C248" s="4" t="str">
        <x:v>m</x:v>
      </x:c>
      <x:c r="D248" s="4" t="str">
        <x:v>検出時:d/50（レイHitFraction）; 未検出・検査対象外:1</x:v>
      </x:c>
      <x:c r="E248" s="4" t="str">
        <x:v>[0,1]（gaussian_noise=0, dropout_prob=0）</x:v>
      </x:c>
      <x:c r="F248" s="4" t="str">
        <x:v>レイ始点から0 mの交点相当</x:v>
      </x:c>
      <x:c r="G248" s="4" t="str">
        <x:v>検出交点まで25 m</x:v>
      </x:c>
      <x:c r="H248" s="4" t="str">
        <x:v>未検出・50 m終端・検査対象外</x:v>
      </x:c>
      <x:c r="I248" s="4" t="str">
        <x:v>ビーム番号227; 相対角340.5°。実装レイ終点はθ+2πk/240。右手XYでは角度増加は左回り。旧コメントclockwiseと不一致。dは車両中心XYから対象表面までで、車体前端からの車間距離ではない。</x:v>
      </x:c>
      <x:c r="J248" s="4" t="str">
        <x:v>S01;S07;S08;S09;S10;S13;S17</x:v>
      </x:c>
      <x:c r="K248" s="4" t="str">
        <x:v>https://raw.githubusercontent.com/metadriverse/metadrive/85e5dadc6c7436d324348f6e3d8f8e680c06b4db/metadrive/obs/state_obs.py</x:v>
      </x:c>
    </x:row>
    <x:row r="249" ht="92" customHeight="1">
      <x:c r="A249" s="14" t="n">
        <x:v>247</x:v>
      </x:c>
      <x:c r="B249" s="4" t="str">
        <x:v>LiDARビーム228：車体前方から実装角度+342°（前）</x:v>
      </x:c>
      <x:c r="C249" s="4" t="str">
        <x:v>m</x:v>
      </x:c>
      <x:c r="D249" s="4" t="str">
        <x:v>検出時:d/50（レイHitFraction）; 未検出・検査対象外:1</x:v>
      </x:c>
      <x:c r="E249" s="4" t="str">
        <x:v>[0,1]（gaussian_noise=0, dropout_prob=0）</x:v>
      </x:c>
      <x:c r="F249" s="4" t="str">
        <x:v>レイ始点から0 mの交点相当</x:v>
      </x:c>
      <x:c r="G249" s="4" t="str">
        <x:v>検出交点まで25 m</x:v>
      </x:c>
      <x:c r="H249" s="4" t="str">
        <x:v>未検出・50 m終端・検査対象外</x:v>
      </x:c>
      <x:c r="I249" s="4" t="str">
        <x:v>ビーム番号228; 相対角342°。実装レイ終点はθ+2πk/240。右手XYでは角度増加は左回り。旧コメントclockwiseと不一致。dは車両中心XYから対象表面までで、車体前端からの車間距離ではない。</x:v>
      </x:c>
      <x:c r="J249" s="4" t="str">
        <x:v>S01;S07;S08;S09;S10;S13;S17</x:v>
      </x:c>
      <x:c r="K249" s="4" t="str">
        <x:v>https://raw.githubusercontent.com/metadriverse/metadrive/85e5dadc6c7436d324348f6e3d8f8e680c06b4db/metadrive/obs/state_obs.py</x:v>
      </x:c>
    </x:row>
    <x:row r="250" ht="92" customHeight="1">
      <x:c r="A250" s="14" t="n">
        <x:v>248</x:v>
      </x:c>
      <x:c r="B250" s="4" t="str">
        <x:v>LiDARビーム229：車体前方から実装角度+343.5°（前）</x:v>
      </x:c>
      <x:c r="C250" s="4" t="str">
        <x:v>m</x:v>
      </x:c>
      <x:c r="D250" s="4" t="str">
        <x:v>検出時:d/50（レイHitFraction）; 未検出・検査対象外:1</x:v>
      </x:c>
      <x:c r="E250" s="4" t="str">
        <x:v>[0,1]（gaussian_noise=0, dropout_prob=0）</x:v>
      </x:c>
      <x:c r="F250" s="4" t="str">
        <x:v>レイ始点から0 mの交点相当</x:v>
      </x:c>
      <x:c r="G250" s="4" t="str">
        <x:v>検出交点まで25 m</x:v>
      </x:c>
      <x:c r="H250" s="4" t="str">
        <x:v>未検出・50 m終端・検査対象外</x:v>
      </x:c>
      <x:c r="I250" s="4" t="str">
        <x:v>ビーム番号229; 相対角343.5°。実装レイ終点はθ+2πk/240。右手XYでは角度増加は左回り。旧コメントclockwiseと不一致。dは車両中心XYから対象表面までで、車体前端からの車間距離ではない。</x:v>
      </x:c>
      <x:c r="J250" s="4" t="str">
        <x:v>S01;S07;S08;S09;S10;S13;S17</x:v>
      </x:c>
      <x:c r="K250" s="4" t="str">
        <x:v>https://raw.githubusercontent.com/metadriverse/metadrive/85e5dadc6c7436d324348f6e3d8f8e680c06b4db/metadrive/obs/state_obs.py</x:v>
      </x:c>
    </x:row>
    <x:row r="251" ht="92" customHeight="1">
      <x:c r="A251" s="14" t="n">
        <x:v>249</x:v>
      </x:c>
      <x:c r="B251" s="4" t="str">
        <x:v>LiDARビーム230：車体前方から実装角度+345°（前）</x:v>
      </x:c>
      <x:c r="C251" s="4" t="str">
        <x:v>m</x:v>
      </x:c>
      <x:c r="D251" s="4" t="str">
        <x:v>検出時:d/50（レイHitFraction）; 未検出・検査対象外:1</x:v>
      </x:c>
      <x:c r="E251" s="4" t="str">
        <x:v>[0,1]（gaussian_noise=0, dropout_prob=0）</x:v>
      </x:c>
      <x:c r="F251" s="4" t="str">
        <x:v>レイ始点から0 mの交点相当</x:v>
      </x:c>
      <x:c r="G251" s="4" t="str">
        <x:v>検出交点まで25 m</x:v>
      </x:c>
      <x:c r="H251" s="4" t="str">
        <x:v>未検出・50 m終端・検査対象外</x:v>
      </x:c>
      <x:c r="I251" s="4" t="str">
        <x:v>ビーム番号230; 相対角345°。実装レイ終点はθ+2πk/240。右手XYでは角度増加は左回り。旧コメントclockwiseと不一致。dは車両中心XYから対象表面までで、車体前端からの車間距離ではない。</x:v>
      </x:c>
      <x:c r="J251" s="4" t="str">
        <x:v>S01;S07;S08;S09;S10;S13;S17</x:v>
      </x:c>
      <x:c r="K251" s="4" t="str">
        <x:v>https://raw.githubusercontent.com/metadriverse/metadrive/85e5dadc6c7436d324348f6e3d8f8e680c06b4db/metadrive/obs/state_obs.py</x:v>
      </x:c>
    </x:row>
    <x:row r="252" ht="92" customHeight="1">
      <x:c r="A252" s="14" t="n">
        <x:v>250</x:v>
      </x:c>
      <x:c r="B252" s="4" t="str">
        <x:v>LiDARビーム231：車体前方から実装角度+346.5°（前）</x:v>
      </x:c>
      <x:c r="C252" s="4" t="str">
        <x:v>m</x:v>
      </x:c>
      <x:c r="D252" s="4" t="str">
        <x:v>検出時:d/50（レイHitFraction）; 未検出・検査対象外:1</x:v>
      </x:c>
      <x:c r="E252" s="4" t="str">
        <x:v>[0,1]（gaussian_noise=0, dropout_prob=0）</x:v>
      </x:c>
      <x:c r="F252" s="4" t="str">
        <x:v>レイ始点から0 mの交点相当</x:v>
      </x:c>
      <x:c r="G252" s="4" t="str">
        <x:v>検出交点まで25 m</x:v>
      </x:c>
      <x:c r="H252" s="4" t="str">
        <x:v>未検出・50 m終端・検査対象外</x:v>
      </x:c>
      <x:c r="I252" s="4" t="str">
        <x:v>ビーム番号231; 相対角346.5°。実装レイ終点はθ+2πk/240。右手XYでは角度増加は左回り。旧コメントclockwiseと不一致。dは車両中心XYから対象表面までで、車体前端からの車間距離ではない。</x:v>
      </x:c>
      <x:c r="J252" s="4" t="str">
        <x:v>S01;S07;S08;S09;S10;S13;S17</x:v>
      </x:c>
      <x:c r="K252" s="4" t="str">
        <x:v>https://raw.githubusercontent.com/metadriverse/metadrive/85e5dadc6c7436d324348f6e3d8f8e680c06b4db/metadrive/obs/state_obs.py</x:v>
      </x:c>
    </x:row>
    <x:row r="253" ht="92" customHeight="1">
      <x:c r="A253" s="14" t="n">
        <x:v>251</x:v>
      </x:c>
      <x:c r="B253" s="4" t="str">
        <x:v>LiDARビーム232：車体前方から実装角度+348°（前）</x:v>
      </x:c>
      <x:c r="C253" s="4" t="str">
        <x:v>m</x:v>
      </x:c>
      <x:c r="D253" s="4" t="str">
        <x:v>検出時:d/50（レイHitFraction）; 未検出・検査対象外:1</x:v>
      </x:c>
      <x:c r="E253" s="4" t="str">
        <x:v>[0,1]（gaussian_noise=0, dropout_prob=0）</x:v>
      </x:c>
      <x:c r="F253" s="4" t="str">
        <x:v>レイ始点から0 mの交点相当</x:v>
      </x:c>
      <x:c r="G253" s="4" t="str">
        <x:v>検出交点まで25 m</x:v>
      </x:c>
      <x:c r="H253" s="4" t="str">
        <x:v>未検出・50 m終端・検査対象外</x:v>
      </x:c>
      <x:c r="I253" s="4" t="str">
        <x:v>ビーム番号232; 相対角348°。実装レイ終点はθ+2πk/240。右手XYでは角度増加は左回り。旧コメントclockwiseと不一致。dは車両中心XYから対象表面までで、車体前端からの車間距離ではない。</x:v>
      </x:c>
      <x:c r="J253" s="4" t="str">
        <x:v>S01;S07;S08;S09;S10;S13;S17</x:v>
      </x:c>
      <x:c r="K253" s="4" t="str">
        <x:v>https://raw.githubusercontent.com/metadriverse/metadrive/85e5dadc6c7436d324348f6e3d8f8e680c06b4db/metadrive/obs/state_obs.py</x:v>
      </x:c>
    </x:row>
    <x:row r="254" ht="92" customHeight="1">
      <x:c r="A254" s="14" t="n">
        <x:v>252</x:v>
      </x:c>
      <x:c r="B254" s="4" t="str">
        <x:v>LiDARビーム233：車体前方から実装角度+349.5°（前）</x:v>
      </x:c>
      <x:c r="C254" s="4" t="str">
        <x:v>m</x:v>
      </x:c>
      <x:c r="D254" s="4" t="str">
        <x:v>検出時:d/50（レイHitFraction）; 未検出・検査対象外:1</x:v>
      </x:c>
      <x:c r="E254" s="4" t="str">
        <x:v>[0,1]（gaussian_noise=0, dropout_prob=0）</x:v>
      </x:c>
      <x:c r="F254" s="4" t="str">
        <x:v>レイ始点から0 mの交点相当</x:v>
      </x:c>
      <x:c r="G254" s="4" t="str">
        <x:v>検出交点まで25 m</x:v>
      </x:c>
      <x:c r="H254" s="4" t="str">
        <x:v>未検出・50 m終端・検査対象外</x:v>
      </x:c>
      <x:c r="I254" s="4" t="str">
        <x:v>ビーム番号233; 相対角349.5°。実装レイ終点はθ+2πk/240。右手XYでは角度増加は左回り。旧コメントclockwiseと不一致。dは車両中心XYから対象表面までで、車体前端からの車間距離ではない。</x:v>
      </x:c>
      <x:c r="J254" s="4" t="str">
        <x:v>S01;S07;S08;S09;S10;S13;S17</x:v>
      </x:c>
      <x:c r="K254" s="4" t="str">
        <x:v>https://raw.githubusercontent.com/metadriverse/metadrive/85e5dadc6c7436d324348f6e3d8f8e680c06b4db/metadrive/obs/state_obs.py</x:v>
      </x:c>
    </x:row>
    <x:row r="255" ht="92" customHeight="1">
      <x:c r="A255" s="14" t="n">
        <x:v>253</x:v>
      </x:c>
      <x:c r="B255" s="4" t="str">
        <x:v>LiDARビーム234：車体前方から実装角度+351°（前）</x:v>
      </x:c>
      <x:c r="C255" s="4" t="str">
        <x:v>m</x:v>
      </x:c>
      <x:c r="D255" s="4" t="str">
        <x:v>検出時:d/50（レイHitFraction）; 未検出・検査対象外:1</x:v>
      </x:c>
      <x:c r="E255" s="4" t="str">
        <x:v>[0,1]（gaussian_noise=0, dropout_prob=0）</x:v>
      </x:c>
      <x:c r="F255" s="4" t="str">
        <x:v>レイ始点から0 mの交点相当</x:v>
      </x:c>
      <x:c r="G255" s="4" t="str">
        <x:v>検出交点まで25 m</x:v>
      </x:c>
      <x:c r="H255" s="4" t="str">
        <x:v>未検出・50 m終端・検査対象外</x:v>
      </x:c>
      <x:c r="I255" s="4" t="str">
        <x:v>ビーム番号234; 相対角351°。実装レイ終点はθ+2πk/240。右手XYでは角度増加は左回り。旧コメントclockwiseと不一致。dは車両中心XYから対象表面までで、車体前端からの車間距離ではない。</x:v>
      </x:c>
      <x:c r="J255" s="4" t="str">
        <x:v>S01;S07;S08;S09;S10;S13;S17</x:v>
      </x:c>
      <x:c r="K255" s="4" t="str">
        <x:v>https://raw.githubusercontent.com/metadriverse/metadrive/85e5dadc6c7436d324348f6e3d8f8e680c06b4db/metadrive/obs/state_obs.py</x:v>
      </x:c>
    </x:row>
    <x:row r="256" ht="92" customHeight="1">
      <x:c r="A256" s="14" t="n">
        <x:v>254</x:v>
      </x:c>
      <x:c r="B256" s="4" t="str">
        <x:v>LiDARビーム235：車体前方から実装角度+352.5°（前）</x:v>
      </x:c>
      <x:c r="C256" s="4" t="str">
        <x:v>m</x:v>
      </x:c>
      <x:c r="D256" s="4" t="str">
        <x:v>検出時:d/50（レイHitFraction）; 未検出・検査対象外:1</x:v>
      </x:c>
      <x:c r="E256" s="4" t="str">
        <x:v>[0,1]（gaussian_noise=0, dropout_prob=0）</x:v>
      </x:c>
      <x:c r="F256" s="4" t="str">
        <x:v>レイ始点から0 mの交点相当</x:v>
      </x:c>
      <x:c r="G256" s="4" t="str">
        <x:v>検出交点まで25 m</x:v>
      </x:c>
      <x:c r="H256" s="4" t="str">
        <x:v>未検出・50 m終端・検査対象外</x:v>
      </x:c>
      <x:c r="I256" s="4" t="str">
        <x:v>ビーム番号235; 相対角352.5°。実装レイ終点はθ+2πk/240。右手XYでは角度増加は左回り。旧コメントclockwiseと不一致。dは車両中心XYから対象表面までで、車体前端からの車間距離ではない。</x:v>
      </x:c>
      <x:c r="J256" s="4" t="str">
        <x:v>S01;S07;S08;S09;S10;S13;S17</x:v>
      </x:c>
      <x:c r="K256" s="4" t="str">
        <x:v>https://raw.githubusercontent.com/metadriverse/metadrive/85e5dadc6c7436d324348f6e3d8f8e680c06b4db/metadrive/obs/state_obs.py</x:v>
      </x:c>
    </x:row>
    <x:row r="257" ht="92" customHeight="1">
      <x:c r="A257" s="14" t="n">
        <x:v>255</x:v>
      </x:c>
      <x:c r="B257" s="4" t="str">
        <x:v>LiDARビーム236：車体前方から実装角度+354°（前）</x:v>
      </x:c>
      <x:c r="C257" s="4" t="str">
        <x:v>m</x:v>
      </x:c>
      <x:c r="D257" s="4" t="str">
        <x:v>検出時:d/50（レイHitFraction）; 未検出・検査対象外:1</x:v>
      </x:c>
      <x:c r="E257" s="4" t="str">
        <x:v>[0,1]（gaussian_noise=0, dropout_prob=0）</x:v>
      </x:c>
      <x:c r="F257" s="4" t="str">
        <x:v>レイ始点から0 mの交点相当</x:v>
      </x:c>
      <x:c r="G257" s="4" t="str">
        <x:v>検出交点まで25 m</x:v>
      </x:c>
      <x:c r="H257" s="4" t="str">
        <x:v>未検出・50 m終端・検査対象外</x:v>
      </x:c>
      <x:c r="I257" s="4" t="str">
        <x:v>ビーム番号236; 相対角354°。実装レイ終点はθ+2πk/240。右手XYでは角度増加は左回り。旧コメントclockwiseと不一致。dは車両中心XYから対象表面までで、車体前端からの車間距離ではない。</x:v>
      </x:c>
      <x:c r="J257" s="4" t="str">
        <x:v>S01;S07;S08;S09;S10;S13;S17</x:v>
      </x:c>
      <x:c r="K257" s="4" t="str">
        <x:v>https://raw.githubusercontent.com/metadriverse/metadrive/85e5dadc6c7436d324348f6e3d8f8e680c06b4db/metadrive/obs/state_obs.py</x:v>
      </x:c>
    </x:row>
    <x:row r="258" ht="92" customHeight="1">
      <x:c r="A258" s="14" t="n">
        <x:v>256</x:v>
      </x:c>
      <x:c r="B258" s="4" t="str">
        <x:v>LiDARビーム237：車体前方から実装角度+355.5°（前）</x:v>
      </x:c>
      <x:c r="C258" s="4" t="str">
        <x:v>m</x:v>
      </x:c>
      <x:c r="D258" s="4" t="str">
        <x:v>検出時:d/50（レイHitFraction）; 未検出・検査対象外:1</x:v>
      </x:c>
      <x:c r="E258" s="4" t="str">
        <x:v>[0,1]（gaussian_noise=0, dropout_prob=0）</x:v>
      </x:c>
      <x:c r="F258" s="4" t="str">
        <x:v>レイ始点から0 mの交点相当</x:v>
      </x:c>
      <x:c r="G258" s="4" t="str">
        <x:v>検出交点まで25 m</x:v>
      </x:c>
      <x:c r="H258" s="4" t="str">
        <x:v>未検出・50 m終端・検査対象外</x:v>
      </x:c>
      <x:c r="I258" s="4" t="str">
        <x:v>ビーム番号237; 相対角355.5°。実装レイ終点はθ+2πk/240。右手XYでは角度増加は左回り。旧コメントclockwiseと不一致。dは車両中心XYから対象表面までで、車体前端からの車間距離ではない。</x:v>
      </x:c>
      <x:c r="J258" s="4" t="str">
        <x:v>S01;S07;S08;S09;S10;S13;S17</x:v>
      </x:c>
      <x:c r="K258" s="4" t="str">
        <x:v>https://raw.githubusercontent.com/metadriverse/metadrive/85e5dadc6c7436d324348f6e3d8f8e680c06b4db/metadrive/obs/state_obs.py</x:v>
      </x:c>
    </x:row>
    <x:row r="259" ht="92" customHeight="1">
      <x:c r="A259" s="14" t="n">
        <x:v>257</x:v>
      </x:c>
      <x:c r="B259" s="4" t="str">
        <x:v>LiDARビーム238：車体前方から実装角度+357°（前）</x:v>
      </x:c>
      <x:c r="C259" s="4" t="str">
        <x:v>m</x:v>
      </x:c>
      <x:c r="D259" s="4" t="str">
        <x:v>検出時:d/50（レイHitFraction）; 未検出・検査対象外:1</x:v>
      </x:c>
      <x:c r="E259" s="4" t="str">
        <x:v>[0,1]（gaussian_noise=0, dropout_prob=0）</x:v>
      </x:c>
      <x:c r="F259" s="4" t="str">
        <x:v>レイ始点から0 mの交点相当</x:v>
      </x:c>
      <x:c r="G259" s="4" t="str">
        <x:v>検出交点まで25 m</x:v>
      </x:c>
      <x:c r="H259" s="4" t="str">
        <x:v>未検出・50 m終端・検査対象外</x:v>
      </x:c>
      <x:c r="I259" s="4" t="str">
        <x:v>ビーム番号238; 相対角357°。実装レイ終点はθ+2πk/240。右手XYでは角度増加は左回り。旧コメントclockwiseと不一致。dは車両中心XYから対象表面までで、車体前端からの車間距離ではない。</x:v>
      </x:c>
      <x:c r="J259" s="4" t="str">
        <x:v>S01;S07;S08;S09;S10;S13;S17</x:v>
      </x:c>
      <x:c r="K259" s="4" t="str">
        <x:v>https://raw.githubusercontent.com/metadriverse/metadrive/85e5dadc6c7436d324348f6e3d8f8e680c06b4db/metadrive/obs/state_obs.py</x:v>
      </x:c>
    </x:row>
    <x:row r="260" ht="92" customHeight="1">
      <x:c r="A260" s="14" t="n">
        <x:v>258</x:v>
      </x:c>
      <x:c r="B260" s="4" t="str">
        <x:v>LiDARビーム239：車体前方から実装角度+358.5°（前）</x:v>
      </x:c>
      <x:c r="C260" s="4" t="str">
        <x:v>m</x:v>
      </x:c>
      <x:c r="D260" s="4" t="str">
        <x:v>検出時:d/50（レイHitFraction）; 未検出・検査対象外:1</x:v>
      </x:c>
      <x:c r="E260" s="4" t="str">
        <x:v>[0,1]（gaussian_noise=0, dropout_prob=0）</x:v>
      </x:c>
      <x:c r="F260" s="4" t="str">
        <x:v>レイ始点から0 mの交点相当</x:v>
      </x:c>
      <x:c r="G260" s="4" t="str">
        <x:v>検出交点まで25 m</x:v>
      </x:c>
      <x:c r="H260" s="4" t="str">
        <x:v>未検出・50 m終端・検査対象外</x:v>
      </x:c>
      <x:c r="I260" s="4" t="str">
        <x:v>ビーム番号239; 相対角358.5°。実装レイ終点はθ+2πk/240。右手XYでは角度増加は左回り。旧コメントclockwiseと不一致。dは車両中心XYから対象表面までで、車体前端からの車間距離ではない。</x:v>
      </x:c>
      <x:c r="J260" s="4" t="str">
        <x:v>S01;S07;S08;S09;S10;S13;S17</x:v>
      </x:c>
      <x:c r="K260" s="4" t="str">
        <x:v>https://raw.githubusercontent.com/metadriverse/metadrive/85e5dadc6c7436d324348f6e3d8f8e680c06b4db/metadrive/obs/state_obs.py</x:v>
      </x:c>
    </x:row>
  </x:sheetData>
  <x:pageMargins left="0.7" right="0.7" top="0.75" bottom="0.75" header="0.3" footer="0.3"/>
  <x:tableParts count="1">
    <x:tablePart xmlns:r="http://schemas.openxmlformats.org/officeDocument/2006/relationships" r:id="Re1d025473aea41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44" hidden="0" customWidth="1"/>
    <x:col min="4" max="4" width="65" hidden="0" customWidth="1"/>
  </x:cols>
  <x:sheetData>
    <x:row r="1" ht="28" customHeight="1">
      <x:c r="A1" s="9" t="str">
        <x:v>ID</x:v>
      </x:c>
      <x:c r="B1" s="9" t="str">
        <x:v>資料</x:v>
      </x:c>
      <x:c r="C1" s="9" t="str">
        <x:v>確認した関数・場所</x:v>
      </x:c>
      <x:c r="D1" s="9" t="str">
        <x:v>URL</x:v>
      </x:c>
    </x:row>
    <x:row r="2" ht="90" customHeight="1">
      <x:c r="A2" s="4" t="str">
        <x:v>S01</x:v>
      </x:c>
      <x:c r="B2" s="4" t="str">
        <x:v>観測ベクトルの構築</x:v>
      </x:c>
      <x:c r="C2" s="4" t="str">
        <x:v>StateObservation.vehicle_state; LidarStateObservation.observe</x:v>
      </x:c>
      <x:c r="D2" s="4" t="str">
        <x:v>https://raw.githubusercontent.com/metadriverse/metadrive/85e5dadc6c7436d324348f6e3d8f8e680c06b4db/metadrive/obs/state_obs.py</x:v>
      </x:c>
    </x:row>
    <x:row r="3" ht="90" customHeight="1">
      <x:c r="A3" s="4" t="str">
        <x:v>S02</x:v>
      </x:c>
      <x:c r="B3" s="4" t="str">
        <x:v>車両状態・操舵・道路端・向き</x:v>
      </x:c>
      <x:c r="C3" s="4" t="str">
        <x:v>MAX_STEERING; before_step; _set_action; heading_diff; _dist_to_route_left_right</x:v>
      </x:c>
      <x:c r="D3" s="4" t="str">
        <x:v>https://raw.githubusercontent.com/metadriverse/metadrive/85e5dadc6c7436d324348f6e3d8f8e680c06b4db/metadrive/component/vehicle/base_vehicle.py</x:v>
      </x:c>
    </x:row>
    <x:row r="4" ht="90" customHeight="1">
      <x:c r="A4" s="4" t="str">
        <x:v>S03</x:v>
      </x:c>
      <x:c r="B4" s="4" t="str">
        <x:v>ナビゲーション10次元</x:v>
      </x:c>
      <x:c r="C4" s="4" t="str">
        <x:v>update_localization; _get_info_for_checkpoint</x:v>
      </x:c>
      <x:c r="D4" s="4" t="str">
        <x:v>https://raw.githubusercontent.com/metadriverse/metadrive/85e5dadc6c7436d324348f6e3d8f8e680c06b4db/metadrive/component/navigation_module/node_network_navigation.py</x:v>
      </x:c>
    </x:row>
    <x:row r="5" ht="90" customHeight="1">
      <x:c r="A5" s="4" t="str">
        <x:v>S04</x:v>
      </x:c>
      <x:c r="B5" s="4" t="str">
        <x:v>ナビゲーション定数</x:v>
      </x:c>
      <x:c r="C5" s="4" t="str">
        <x:v>NAVI_POINT_DIST; get_current_lane_num; get_current_lane_width</x:v>
      </x:c>
      <x:c r="D5" s="4" t="str">
        <x:v>https://raw.githubusercontent.com/metadriverse/metadrive/85e5dadc6c7436d324348f6e3d8f8e680c06b4db/metadrive/component/navigation_module/base_navigation.py</x:v>
      </x:c>
    </x:row>
    <x:row r="6" ht="90" customHeight="1">
      <x:c r="A6" s="4" t="str">
        <x:v>S05</x:v>
      </x:c>
      <x:c r="B6" s="4" t="str">
        <x:v>地図の正規化定数</x:v>
      </x:c>
      <x:c r="C6" s="4" t="str">
        <x:v>MAX_LANE_WIDTH; MAX_LANE_NUM</x:v>
      </x:c>
      <x:c r="D6" s="4" t="str">
        <x:v>https://raw.githubusercontent.com/metadriverse/metadrive/85e5dadc6c7436d324348f6e3d8f8e680c06b4db/metadrive/component/map/base_map.py</x:v>
      </x:c>
    </x:row>
    <x:row r="7" ht="90" customHeight="1">
      <x:c r="A7" s="4" t="str">
        <x:v>S06</x:v>
      </x:c>
      <x:c r="B7" s="4" t="str">
        <x:v>車両・カーブのパラメータ</x:v>
      </x:c>
      <x:c r="C7" s="4" t="str">
        <x:v>VehicleParameterSpace.DEFAULT_VEHICLE; BlockParameterSpace.CURVE</x:v>
      </x:c>
      <x:c r="D7" s="4" t="str">
        <x:v>https://raw.githubusercontent.com/metadriverse/metadrive/85e5dadc6c7436d324348f6e3d8f8e680c06b4db/metadrive/component/pg_space.py</x:v>
      </x:c>
    </x:row>
    <x:row r="8" ht="90" customHeight="1">
      <x:c r="A8" s="4" t="str">
        <x:v>S07</x:v>
      </x:c>
      <x:c r="B8" s="4" t="str">
        <x:v>LiDARレイ・検出距離</x:v>
      </x:c>
      <x:c r="C8" s="4" t="str">
        <x:v>_get_lidar_range; perceive</x:v>
      </x:c>
      <x:c r="D8" s="4" t="str">
        <x:v>https://raw.githubusercontent.com/metadriverse/metadrive/85e5dadc6c7436d324348f6e3d8f8e680c06b4db/metadrive/component/sensors/distance_detector.py</x:v>
      </x:c>
    </x:row>
    <x:row r="9" ht="90" customHeight="1">
      <x:c r="A9" s="4" t="str">
        <x:v>S08</x:v>
      </x:c>
      <x:c r="B9" s="4" t="str">
        <x:v>LiDAR検出マスク</x:v>
      </x:c>
      <x:c r="C9" s="4" t="str">
        <x:v>Lidar.__init__; perceive</x:v>
      </x:c>
      <x:c r="D9" s="4" t="str">
        <x:v>https://raw.githubusercontent.com/metadriverse/metadrive/85e5dadc6c7436d324348f6e3d8f8e680c06b4db/metadrive/component/sensors/lidar.py</x:v>
      </x:c>
    </x:row>
    <x:row r="10" ht="90" customHeight="1">
      <x:c r="A10" s="4" t="str">
        <x:v>S09</x:v>
      </x:c>
      <x:c r="B10" s="4" t="str">
        <x:v>レイ終点・右向きベクトル</x:v>
      </x:c>
      <x:c r="C10" s="4" t="str">
        <x:v>get_laser_end; get_vertical_vector; clip</x:v>
      </x:c>
      <x:c r="D10" s="4" t="str">
        <x:v>https://raw.githubusercontent.com/metadriverse/metadrive/85e5dadc6c7436d324348f6e3d8f8e680c06b4db/metadrive/utils/math.py</x:v>
      </x:c>
    </x:row>
    <x:row r="11" ht="90" customHeight="1">
      <x:c r="A11" s="4" t="str">
        <x:v>S10</x:v>
      </x:c>
      <x:c r="B11" s="4" t="str">
        <x:v>右手座標系・変換</x:v>
      </x:c>
      <x:c r="C11" s="4" t="str">
        <x:v>panda_vector; metadrive_vector; panda_heading</x:v>
      </x:c>
      <x:c r="D11" s="4" t="str">
        <x:v>https://raw.githubusercontent.com/metadriverse/metadrive/85e5dadc6c7436d324348f6e3d8f8e680c06b4db/metadrive/utils/coordinates_shift.py</x:v>
      </x:c>
    </x:row>
    <x:row r="12" ht="90" customHeight="1">
      <x:c r="A12" s="4" t="str">
        <x:v>S11</x:v>
      </x:c>
      <x:c r="B12" s="4" t="str">
        <x:v>円弧レーン</x:v>
      </x:c>
      <x:c r="C12" s="4" t="str">
        <x:v>angle &gt; 0; direction; local_coordinates</x:v>
      </x:c>
      <x:c r="D12" s="4" t="str">
        <x:v>https://raw.githubusercontent.com/metadriverse/metadrive/85e5dadc6c7436d324348f6e3d8f8e680c06b4db/metadrive/component/lane/circular_lane.py</x:v>
      </x:c>
    </x:row>
    <x:row r="13" ht="90" customHeight="1">
      <x:c r="A13" s="4" t="str">
        <x:v>S12</x:v>
      </x:c>
      <x:c r="B13" s="4" t="str">
        <x:v>直線レーン</x:v>
      </x:c>
      <x:c r="C13" s="4" t="str">
        <x:v>direction_lateral; local_coordinates</x:v>
      </x:c>
      <x:c r="D13" s="4" t="str">
        <x:v>https://raw.githubusercontent.com/metadriverse/metadrive/85e5dadc6c7436d324348f6e3d8f8e680c06b4db/metadrive/component/lane/straight_lane.py</x:v>
      </x:c>
    </x:row>
    <x:row r="14" ht="90" customHeight="1">
      <x:c r="A14" s="4" t="str">
        <x:v>S13</x:v>
      </x:c>
      <x:c r="B14" s="4" t="str">
        <x:v>センサ・制御周期・車種の既定値</x:v>
      </x:c>
      <x:c r="C14" s="4" t="str">
        <x:v>BASE_DEFAULT_CONFIG</x:v>
      </x:c>
      <x:c r="D14" s="4" t="str">
        <x:v>https://raw.githubusercontent.com/metadriverse/metadrive/85e5dadc6c7436d324348f6e3d8f8e680c06b4db/metadrive/envs/base_env.py</x:v>
      </x:c>
    </x:row>
    <x:row r="15" ht="90" customHeight="1">
      <x:c r="A15" s="4" t="str">
        <x:v>S14</x:v>
      </x:c>
      <x:c r="B15" s="4" t="str">
        <x:v>PG道路の既定値</x:v>
      </x:c>
      <x:c r="C15" s="4" t="str">
        <x:v>METADRIVE_DEFAULT_CONFIG</x:v>
      </x:c>
      <x:c r="D15" s="4" t="str">
        <x:v>https://raw.githubusercontent.com/metadriverse/metadrive/85e5dadc6c7436d324348f6e3d8f8e680c06b4db/metadrive/envs/metadrive_env.py</x:v>
      </x:c>
    </x:row>
    <x:row r="16" ht="90" customHeight="1">
      <x:c r="A16" s="4" t="str">
        <x:v>S15</x:v>
      </x:c>
      <x:c r="B16" s="4" t="str">
        <x:v>速さと座標変換</x:v>
      </x:c>
      <x:c r="C16" s="4" t="str">
        <x:v>speed_km_h; heading; convert_to_local_coordinates</x:v>
      </x:c>
      <x:c r="D16" s="4" t="str">
        <x:v>https://raw.githubusercontent.com/metadriverse/metadrive/85e5dadc6c7436d324348f6e3d8f8e680c06b4db/metadrive/base_class/base_object.py</x:v>
      </x:c>
    </x:row>
    <x:row r="17" ht="90" customHeight="1">
      <x:c r="A17" s="4" t="str">
        <x:v>S16</x:v>
      </x:c>
      <x:c r="B17" s="4" t="str">
        <x:v>離散行動から操舵・加減速へ</x:v>
      </x:c>
      <x:c r="C17" s="4" t="str">
        <x:v>convert_to_continuous_action; act</x:v>
      </x:c>
      <x:c r="D17" s="4" t="str">
        <x:v>https://raw.githubusercontent.com/metadriverse/metadrive/85e5dadc6c7436d324348f6e3d8f8e680c06b4db/metadrive/policy/env_input_policy.py</x:v>
      </x:c>
    </x:row>
    <x:row r="18" ht="90" customHeight="1">
      <x:c r="A18" s="4" t="str">
        <x:v>S17</x:v>
      </x:c>
      <x:c r="B18" s="4" t="str">
        <x:v>検出対象の種類</x:v>
      </x:c>
      <x:c r="C18" s="4" t="str">
        <x:v>CollisionGroup.can_be_lidar_detected</x:v>
      </x:c>
      <x:c r="D18" s="4" t="str">
        <x:v>https://raw.githubusercontent.com/metadriverse/metadrive/85e5dadc6c7436d324348f6e3d8f8e680c06b4db/metadrive/constants.py</x:v>
      </x:c>
    </x:row>
    <x:row r="19" ht="90" customHeight="1">
      <x:c r="A19" s="4" t="str">
        <x:v>P01</x:v>
      </x:c>
      <x:c r="B19" s="4" t="str">
        <x:v>プロジェクトの記録済みMetaDrive版</x:v>
      </x:c>
      <x:c r="C19" s="4" t="str">
        <x:v>MetaDrive main commit（editable install。実機の版を拘束はしない）</x:v>
      </x:c>
      <x:c r="D19" s="4" t="str">
        <x:v>https://raw.githubusercontent.com/SeigoKaji/metadrive_rl/input_attribution/requirements.lock.txt</x:v>
      </x:c>
    </x:row>
    <x:row r="20" ht="90" customHeight="1">
      <x:c r="A20" s="4" t="str">
        <x:v>P02</x:v>
      </x:c>
      <x:c r="B20" s="4" t="str">
        <x:v>公式左カーブ設定</x:v>
      </x:c>
      <x:c r="C20" s="4" t="str">
        <x:v>environment.common; evaluation</x:v>
      </x:c>
      <x:c r="D20" s="4" t="str">
        <x:v>https://raw.githubusercontent.com/SeigoKaji/metadrive_rl/input_attribution/configs/official.toml</x:v>
      </x:c>
    </x:row>
  </x:sheetData>
  <x:pageMargins left="0.7" right="0.7" top="0.75" bottom="0.75" header="0.3" footer="0.3"/>
  <x:tableParts count="1">
    <x:tablePart xmlns:r="http://schemas.openxmlformats.org/officeDocument/2006/relationships" r:id="R39bf2f667c4647b6"/>
  </x:tableParts>
</x:worksheet>
</file>