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ji.seigo\Downloads\"/>
    </mc:Choice>
  </mc:AlternateContent>
  <xr:revisionPtr revIDLastSave="0" documentId="13_ncr:1_{95939060-FF08-43DD-AFAC-F5EA1B6FE9EB}" xr6:coauthVersionLast="47" xr6:coauthVersionMax="47" xr10:uidLastSave="{00000000-0000-0000-0000-000000000000}"/>
  <bookViews>
    <workbookView xWindow="-51310" yWindow="-110" windowWidth="51420" windowHeight="21100" xr2:uid="{00000000-000D-0000-FFFF-FFFF00000000}"/>
  </bookViews>
  <sheets>
    <sheet name="PP操舵の判定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3" i="1" l="1"/>
  <c r="C93" i="1" s="1"/>
  <c r="F93" i="1" s="1"/>
  <c r="B92" i="1"/>
  <c r="E92" i="1" s="1"/>
  <c r="H92" i="1" s="1"/>
  <c r="B91" i="1"/>
  <c r="C91" i="1" s="1"/>
  <c r="F91" i="1" s="1"/>
  <c r="B90" i="1"/>
  <c r="E90" i="1" s="1"/>
  <c r="H90" i="1" s="1"/>
  <c r="B89" i="1"/>
  <c r="C89" i="1" s="1"/>
  <c r="F89" i="1" s="1"/>
  <c r="B88" i="1"/>
  <c r="E88" i="1" s="1"/>
  <c r="H88" i="1" s="1"/>
  <c r="B87" i="1"/>
  <c r="C87" i="1" s="1"/>
  <c r="F87" i="1" s="1"/>
  <c r="B86" i="1"/>
  <c r="E86" i="1" s="1"/>
  <c r="H86" i="1" s="1"/>
  <c r="B85" i="1"/>
  <c r="C85" i="1" s="1"/>
  <c r="F85" i="1" s="1"/>
  <c r="G84" i="1"/>
  <c r="F84" i="1"/>
  <c r="E84" i="1"/>
  <c r="H84" i="1" s="1"/>
  <c r="D84" i="1"/>
  <c r="C84" i="1"/>
  <c r="B84" i="1"/>
  <c r="B83" i="1"/>
  <c r="C83" i="1" s="1"/>
  <c r="F83" i="1" s="1"/>
  <c r="B82" i="1"/>
  <c r="B81" i="1"/>
  <c r="C81" i="1" s="1"/>
  <c r="F81" i="1" s="1"/>
  <c r="E80" i="1"/>
  <c r="H80" i="1" s="1"/>
  <c r="D80" i="1"/>
  <c r="G80" i="1" s="1"/>
  <c r="B80" i="1"/>
  <c r="C80" i="1" s="1"/>
  <c r="F80" i="1" s="1"/>
  <c r="I80" i="1" s="1"/>
  <c r="B79" i="1"/>
  <c r="C79" i="1" s="1"/>
  <c r="F79" i="1" s="1"/>
  <c r="B78" i="1"/>
  <c r="E78" i="1" s="1"/>
  <c r="H78" i="1" s="1"/>
  <c r="B77" i="1"/>
  <c r="C77" i="1" s="1"/>
  <c r="F77" i="1" s="1"/>
  <c r="E76" i="1"/>
  <c r="H76" i="1" s="1"/>
  <c r="D76" i="1"/>
  <c r="G76" i="1" s="1"/>
  <c r="C76" i="1"/>
  <c r="F76" i="1" s="1"/>
  <c r="I76" i="1" s="1"/>
  <c r="B76" i="1"/>
  <c r="B75" i="1"/>
  <c r="C75" i="1" s="1"/>
  <c r="F75" i="1" s="1"/>
  <c r="B74" i="1"/>
  <c r="C74" i="1" s="1"/>
  <c r="F74" i="1" s="1"/>
  <c r="B73" i="1"/>
  <c r="C73" i="1" s="1"/>
  <c r="F73" i="1" s="1"/>
  <c r="G72" i="1"/>
  <c r="E72" i="1"/>
  <c r="H72" i="1" s="1"/>
  <c r="D72" i="1"/>
  <c r="B72" i="1"/>
  <c r="C72" i="1" s="1"/>
  <c r="F72" i="1" s="1"/>
  <c r="I72" i="1" s="1"/>
  <c r="B71" i="1"/>
  <c r="C71" i="1" s="1"/>
  <c r="F71" i="1" s="1"/>
  <c r="B70" i="1"/>
  <c r="E70" i="1" s="1"/>
  <c r="H70" i="1" s="1"/>
  <c r="B69" i="1"/>
  <c r="C69" i="1" s="1"/>
  <c r="F69" i="1" s="1"/>
  <c r="B68" i="1"/>
  <c r="E68" i="1" s="1"/>
  <c r="H68" i="1" s="1"/>
  <c r="B67" i="1"/>
  <c r="C67" i="1" s="1"/>
  <c r="F67" i="1" s="1"/>
  <c r="B66" i="1"/>
  <c r="C66" i="1" s="1"/>
  <c r="F66" i="1" s="1"/>
  <c r="B65" i="1"/>
  <c r="C65" i="1" s="1"/>
  <c r="F65" i="1" s="1"/>
  <c r="B64" i="1"/>
  <c r="C64" i="1" s="1"/>
  <c r="F64" i="1" s="1"/>
  <c r="B63" i="1"/>
  <c r="C63" i="1" s="1"/>
  <c r="F63" i="1" s="1"/>
  <c r="B62" i="1"/>
  <c r="C62" i="1" s="1"/>
  <c r="F62" i="1" s="1"/>
  <c r="B61" i="1"/>
  <c r="C61" i="1" s="1"/>
  <c r="F61" i="1" s="1"/>
  <c r="E60" i="1"/>
  <c r="H60" i="1" s="1"/>
  <c r="D60" i="1"/>
  <c r="G60" i="1" s="1"/>
  <c r="C60" i="1"/>
  <c r="F60" i="1" s="1"/>
  <c r="B60" i="1"/>
  <c r="B59" i="1"/>
  <c r="C59" i="1" s="1"/>
  <c r="F59" i="1" s="1"/>
  <c r="B58" i="1"/>
  <c r="E58" i="1" s="1"/>
  <c r="H58" i="1" s="1"/>
  <c r="B57" i="1"/>
  <c r="C57" i="1" s="1"/>
  <c r="F57" i="1" s="1"/>
  <c r="B56" i="1"/>
  <c r="E56" i="1" s="1"/>
  <c r="H56" i="1" s="1"/>
  <c r="B55" i="1"/>
  <c r="C55" i="1" s="1"/>
  <c r="F55" i="1" s="1"/>
  <c r="B54" i="1"/>
  <c r="C54" i="1" s="1"/>
  <c r="F54" i="1" s="1"/>
  <c r="B53" i="1"/>
  <c r="C53" i="1" s="1"/>
  <c r="F53" i="1" s="1"/>
  <c r="B52" i="1"/>
  <c r="E52" i="1" s="1"/>
  <c r="H52" i="1" s="1"/>
  <c r="B51" i="1"/>
  <c r="C51" i="1" s="1"/>
  <c r="F51" i="1" s="1"/>
  <c r="B50" i="1"/>
  <c r="E50" i="1" s="1"/>
  <c r="H50" i="1" s="1"/>
  <c r="B49" i="1"/>
  <c r="C49" i="1" s="1"/>
  <c r="F49" i="1" s="1"/>
  <c r="B48" i="1"/>
  <c r="E48" i="1" s="1"/>
  <c r="H48" i="1" s="1"/>
  <c r="B47" i="1"/>
  <c r="C47" i="1" s="1"/>
  <c r="F47" i="1" s="1"/>
  <c r="B46" i="1"/>
  <c r="C46" i="1" s="1"/>
  <c r="F46" i="1" s="1"/>
  <c r="B45" i="1"/>
  <c r="C45" i="1" s="1"/>
  <c r="F45" i="1" s="1"/>
  <c r="B44" i="1"/>
  <c r="E44" i="1" s="1"/>
  <c r="H44" i="1" s="1"/>
  <c r="B43" i="1"/>
  <c r="C43" i="1" s="1"/>
  <c r="F43" i="1" s="1"/>
  <c r="B42" i="1"/>
  <c r="C42" i="1" s="1"/>
  <c r="F42" i="1" s="1"/>
  <c r="B41" i="1"/>
  <c r="C41" i="1" s="1"/>
  <c r="F41" i="1" s="1"/>
  <c r="G40" i="1"/>
  <c r="E40" i="1"/>
  <c r="H40" i="1" s="1"/>
  <c r="D40" i="1"/>
  <c r="B40" i="1"/>
  <c r="C40" i="1" s="1"/>
  <c r="F40" i="1" s="1"/>
  <c r="I40" i="1" s="1"/>
  <c r="B39" i="1"/>
  <c r="C39" i="1" s="1"/>
  <c r="F39" i="1" s="1"/>
  <c r="B38" i="1"/>
  <c r="E38" i="1" s="1"/>
  <c r="H38" i="1" s="1"/>
  <c r="B37" i="1"/>
  <c r="D37" i="1" s="1"/>
  <c r="G37" i="1" s="1"/>
  <c r="B36" i="1"/>
  <c r="E36" i="1" s="1"/>
  <c r="H36" i="1" s="1"/>
  <c r="B35" i="1"/>
  <c r="D35" i="1" s="1"/>
  <c r="G35" i="1" s="1"/>
  <c r="B34" i="1"/>
  <c r="C34" i="1" s="1"/>
  <c r="F34" i="1" s="1"/>
  <c r="B33" i="1"/>
  <c r="C33" i="1" s="1"/>
  <c r="F33" i="1" s="1"/>
  <c r="B32" i="1"/>
  <c r="D32" i="1" s="1"/>
  <c r="G32" i="1" s="1"/>
  <c r="B31" i="1"/>
  <c r="D31" i="1" s="1"/>
  <c r="G31" i="1" s="1"/>
  <c r="B30" i="1"/>
  <c r="C30" i="1" s="1"/>
  <c r="F30" i="1" s="1"/>
  <c r="B29" i="1"/>
  <c r="C29" i="1" s="1"/>
  <c r="F29" i="1" s="1"/>
  <c r="E28" i="1"/>
  <c r="H28" i="1" s="1"/>
  <c r="D28" i="1"/>
  <c r="G28" i="1" s="1"/>
  <c r="C28" i="1"/>
  <c r="F28" i="1" s="1"/>
  <c r="B28" i="1"/>
  <c r="B27" i="1"/>
  <c r="C27" i="1" s="1"/>
  <c r="F27" i="1" s="1"/>
  <c r="B26" i="1"/>
  <c r="D26" i="1" s="1"/>
  <c r="G26" i="1" s="1"/>
  <c r="B25" i="1"/>
  <c r="D25" i="1" s="1"/>
  <c r="G25" i="1" s="1"/>
  <c r="B24" i="1"/>
  <c r="C24" i="1" s="1"/>
  <c r="F24" i="1" s="1"/>
  <c r="B23" i="1"/>
  <c r="C23" i="1" s="1"/>
  <c r="F23" i="1" s="1"/>
  <c r="B22" i="1"/>
  <c r="C22" i="1" s="1"/>
  <c r="F22" i="1" s="1"/>
  <c r="B21" i="1"/>
  <c r="C21" i="1" s="1"/>
  <c r="F21" i="1" s="1"/>
  <c r="B20" i="1"/>
  <c r="E20" i="1" s="1"/>
  <c r="H20" i="1" s="1"/>
  <c r="B19" i="1"/>
  <c r="C19" i="1" s="1"/>
  <c r="F19" i="1" s="1"/>
  <c r="B18" i="1"/>
  <c r="C18" i="1" s="1"/>
  <c r="F18" i="1" s="1"/>
  <c r="B17" i="1"/>
  <c r="D17" i="1" s="1"/>
  <c r="G17" i="1" s="1"/>
  <c r="B16" i="1"/>
  <c r="C16" i="1" s="1"/>
  <c r="F16" i="1" s="1"/>
  <c r="B15" i="1"/>
  <c r="D15" i="1" s="1"/>
  <c r="G15" i="1" s="1"/>
  <c r="B14" i="1"/>
  <c r="D14" i="1" s="1"/>
  <c r="G14" i="1" s="1"/>
  <c r="B13" i="1"/>
  <c r="C13" i="1" s="1"/>
  <c r="F13" i="1" s="1"/>
  <c r="H7" i="1"/>
  <c r="H6" i="1"/>
  <c r="H5" i="1"/>
  <c r="I28" i="1" l="1"/>
  <c r="I24" i="1"/>
  <c r="I60" i="1"/>
  <c r="C86" i="1"/>
  <c r="F86" i="1" s="1"/>
  <c r="D48" i="1"/>
  <c r="G48" i="1" s="1"/>
  <c r="I65" i="1"/>
  <c r="C48" i="1"/>
  <c r="F48" i="1" s="1"/>
  <c r="I48" i="1" s="1"/>
  <c r="D16" i="1"/>
  <c r="G16" i="1" s="1"/>
  <c r="I16" i="1" s="1"/>
  <c r="D86" i="1"/>
  <c r="G86" i="1" s="1"/>
  <c r="E16" i="1"/>
  <c r="H16" i="1" s="1"/>
  <c r="C36" i="1"/>
  <c r="F36" i="1" s="1"/>
  <c r="I36" i="1" s="1"/>
  <c r="C68" i="1"/>
  <c r="F68" i="1" s="1"/>
  <c r="D36" i="1"/>
  <c r="G36" i="1" s="1"/>
  <c r="D24" i="1"/>
  <c r="G24" i="1" s="1"/>
  <c r="E24" i="1"/>
  <c r="H24" i="1" s="1"/>
  <c r="I22" i="1"/>
  <c r="D68" i="1"/>
  <c r="G68" i="1" s="1"/>
  <c r="C56" i="1"/>
  <c r="F56" i="1" s="1"/>
  <c r="I30" i="1"/>
  <c r="D56" i="1"/>
  <c r="G56" i="1" s="1"/>
  <c r="C44" i="1"/>
  <c r="F44" i="1" s="1"/>
  <c r="C82" i="1"/>
  <c r="F82" i="1" s="1"/>
  <c r="I82" i="1" s="1"/>
  <c r="E82" i="1"/>
  <c r="H82" i="1" s="1"/>
  <c r="D82" i="1"/>
  <c r="G82" i="1" s="1"/>
  <c r="I18" i="1"/>
  <c r="D44" i="1"/>
  <c r="G44" i="1" s="1"/>
  <c r="C90" i="1"/>
  <c r="F90" i="1" s="1"/>
  <c r="C32" i="1"/>
  <c r="F32" i="1" s="1"/>
  <c r="D90" i="1"/>
  <c r="G90" i="1" s="1"/>
  <c r="D64" i="1"/>
  <c r="G64" i="1" s="1"/>
  <c r="I64" i="1" s="1"/>
  <c r="E32" i="1"/>
  <c r="H32" i="1" s="1"/>
  <c r="C52" i="1"/>
  <c r="F52" i="1" s="1"/>
  <c r="I52" i="1" s="1"/>
  <c r="I57" i="1"/>
  <c r="E64" i="1"/>
  <c r="H64" i="1" s="1"/>
  <c r="D20" i="1"/>
  <c r="G20" i="1" s="1"/>
  <c r="D52" i="1"/>
  <c r="G52" i="1" s="1"/>
  <c r="C20" i="1"/>
  <c r="F20" i="1" s="1"/>
  <c r="I84" i="1"/>
  <c r="C78" i="1"/>
  <c r="F78" i="1" s="1"/>
  <c r="I78" i="1" s="1"/>
  <c r="C14" i="1"/>
  <c r="F14" i="1" s="1"/>
  <c r="I14" i="1" s="1"/>
  <c r="C26" i="1"/>
  <c r="F26" i="1" s="1"/>
  <c r="I26" i="1" s="1"/>
  <c r="C38" i="1"/>
  <c r="F38" i="1" s="1"/>
  <c r="C50" i="1"/>
  <c r="F50" i="1" s="1"/>
  <c r="C58" i="1"/>
  <c r="F58" i="1" s="1"/>
  <c r="C70" i="1"/>
  <c r="F70" i="1" s="1"/>
  <c r="D78" i="1"/>
  <c r="G78" i="1" s="1"/>
  <c r="D18" i="1"/>
  <c r="G18" i="1" s="1"/>
  <c r="D22" i="1"/>
  <c r="G22" i="1" s="1"/>
  <c r="D30" i="1"/>
  <c r="G30" i="1" s="1"/>
  <c r="D34" i="1"/>
  <c r="G34" i="1" s="1"/>
  <c r="I34" i="1" s="1"/>
  <c r="D38" i="1"/>
  <c r="G38" i="1" s="1"/>
  <c r="D42" i="1"/>
  <c r="G42" i="1" s="1"/>
  <c r="I42" i="1" s="1"/>
  <c r="D46" i="1"/>
  <c r="G46" i="1" s="1"/>
  <c r="I46" i="1" s="1"/>
  <c r="D50" i="1"/>
  <c r="G50" i="1" s="1"/>
  <c r="D54" i="1"/>
  <c r="G54" i="1" s="1"/>
  <c r="I54" i="1" s="1"/>
  <c r="D58" i="1"/>
  <c r="G58" i="1" s="1"/>
  <c r="D62" i="1"/>
  <c r="G62" i="1" s="1"/>
  <c r="I62" i="1" s="1"/>
  <c r="D66" i="1"/>
  <c r="G66" i="1" s="1"/>
  <c r="D70" i="1"/>
  <c r="G70" i="1" s="1"/>
  <c r="D74" i="1"/>
  <c r="G74" i="1" s="1"/>
  <c r="C92" i="1"/>
  <c r="F92" i="1" s="1"/>
  <c r="I92" i="1" s="1"/>
  <c r="E14" i="1"/>
  <c r="H14" i="1" s="1"/>
  <c r="E18" i="1"/>
  <c r="H18" i="1" s="1"/>
  <c r="E22" i="1"/>
  <c r="H22" i="1" s="1"/>
  <c r="E26" i="1"/>
  <c r="H26" i="1" s="1"/>
  <c r="E30" i="1"/>
  <c r="H30" i="1" s="1"/>
  <c r="E34" i="1"/>
  <c r="H34" i="1" s="1"/>
  <c r="E42" i="1"/>
  <c r="H42" i="1" s="1"/>
  <c r="E46" i="1"/>
  <c r="H46" i="1" s="1"/>
  <c r="E54" i="1"/>
  <c r="H54" i="1" s="1"/>
  <c r="E62" i="1"/>
  <c r="H62" i="1" s="1"/>
  <c r="E66" i="1"/>
  <c r="H66" i="1" s="1"/>
  <c r="I66" i="1" s="1"/>
  <c r="E74" i="1"/>
  <c r="H74" i="1" s="1"/>
  <c r="I74" i="1" s="1"/>
  <c r="D92" i="1"/>
  <c r="G92" i="1" s="1"/>
  <c r="C88" i="1"/>
  <c r="F88" i="1" s="1"/>
  <c r="D88" i="1"/>
  <c r="G88" i="1" s="1"/>
  <c r="I39" i="1"/>
  <c r="I51" i="1"/>
  <c r="D13" i="1"/>
  <c r="G13" i="1" s="1"/>
  <c r="D21" i="1"/>
  <c r="G21" i="1" s="1"/>
  <c r="D27" i="1"/>
  <c r="G27" i="1" s="1"/>
  <c r="D29" i="1"/>
  <c r="G29" i="1" s="1"/>
  <c r="I29" i="1" s="1"/>
  <c r="D33" i="1"/>
  <c r="G33" i="1" s="1"/>
  <c r="I33" i="1" s="1"/>
  <c r="D39" i="1"/>
  <c r="G39" i="1" s="1"/>
  <c r="D41" i="1"/>
  <c r="G41" i="1" s="1"/>
  <c r="I41" i="1" s="1"/>
  <c r="D43" i="1"/>
  <c r="G43" i="1" s="1"/>
  <c r="I43" i="1" s="1"/>
  <c r="D45" i="1"/>
  <c r="G45" i="1" s="1"/>
  <c r="I45" i="1" s="1"/>
  <c r="D47" i="1"/>
  <c r="G47" i="1" s="1"/>
  <c r="I47" i="1" s="1"/>
  <c r="D49" i="1"/>
  <c r="G49" i="1" s="1"/>
  <c r="I49" i="1" s="1"/>
  <c r="D51" i="1"/>
  <c r="G51" i="1" s="1"/>
  <c r="D53" i="1"/>
  <c r="G53" i="1" s="1"/>
  <c r="I53" i="1" s="1"/>
  <c r="D55" i="1"/>
  <c r="G55" i="1" s="1"/>
  <c r="I55" i="1" s="1"/>
  <c r="D57" i="1"/>
  <c r="G57" i="1" s="1"/>
  <c r="D59" i="1"/>
  <c r="G59" i="1" s="1"/>
  <c r="D61" i="1"/>
  <c r="G61" i="1" s="1"/>
  <c r="I61" i="1" s="1"/>
  <c r="D63" i="1"/>
  <c r="G63" i="1" s="1"/>
  <c r="I63" i="1" s="1"/>
  <c r="D65" i="1"/>
  <c r="G65" i="1" s="1"/>
  <c r="D67" i="1"/>
  <c r="G67" i="1" s="1"/>
  <c r="I67" i="1" s="1"/>
  <c r="D69" i="1"/>
  <c r="G69" i="1" s="1"/>
  <c r="I69" i="1" s="1"/>
  <c r="D71" i="1"/>
  <c r="G71" i="1" s="1"/>
  <c r="I71" i="1" s="1"/>
  <c r="D73" i="1"/>
  <c r="G73" i="1" s="1"/>
  <c r="I73" i="1" s="1"/>
  <c r="D75" i="1"/>
  <c r="G75" i="1" s="1"/>
  <c r="I75" i="1" s="1"/>
  <c r="D77" i="1"/>
  <c r="G77" i="1" s="1"/>
  <c r="I77" i="1" s="1"/>
  <c r="D79" i="1"/>
  <c r="G79" i="1" s="1"/>
  <c r="I79" i="1" s="1"/>
  <c r="D81" i="1"/>
  <c r="G81" i="1" s="1"/>
  <c r="I81" i="1" s="1"/>
  <c r="D83" i="1"/>
  <c r="G83" i="1" s="1"/>
  <c r="I83" i="1" s="1"/>
  <c r="D85" i="1"/>
  <c r="G85" i="1" s="1"/>
  <c r="D87" i="1"/>
  <c r="G87" i="1" s="1"/>
  <c r="I87" i="1" s="1"/>
  <c r="D89" i="1"/>
  <c r="G89" i="1" s="1"/>
  <c r="I89" i="1" s="1"/>
  <c r="D91" i="1"/>
  <c r="G91" i="1" s="1"/>
  <c r="D93" i="1"/>
  <c r="G93" i="1" s="1"/>
  <c r="I93" i="1" s="1"/>
  <c r="E13" i="1"/>
  <c r="H13" i="1" s="1"/>
  <c r="I13" i="1" s="1"/>
  <c r="E15" i="1"/>
  <c r="H15" i="1" s="1"/>
  <c r="E17" i="1"/>
  <c r="H17" i="1" s="1"/>
  <c r="E19" i="1"/>
  <c r="H19" i="1" s="1"/>
  <c r="I19" i="1" s="1"/>
  <c r="E21" i="1"/>
  <c r="H21" i="1" s="1"/>
  <c r="I21" i="1" s="1"/>
  <c r="E23" i="1"/>
  <c r="H23" i="1" s="1"/>
  <c r="I23" i="1" s="1"/>
  <c r="E25" i="1"/>
  <c r="H25" i="1" s="1"/>
  <c r="E27" i="1"/>
  <c r="H27" i="1" s="1"/>
  <c r="I27" i="1" s="1"/>
  <c r="E29" i="1"/>
  <c r="H29" i="1" s="1"/>
  <c r="E31" i="1"/>
  <c r="H31" i="1" s="1"/>
  <c r="E33" i="1"/>
  <c r="H33" i="1" s="1"/>
  <c r="E35" i="1"/>
  <c r="H35" i="1" s="1"/>
  <c r="E37" i="1"/>
  <c r="H37" i="1" s="1"/>
  <c r="E39" i="1"/>
  <c r="H39" i="1" s="1"/>
  <c r="E41" i="1"/>
  <c r="H41" i="1" s="1"/>
  <c r="E43" i="1"/>
  <c r="H43" i="1" s="1"/>
  <c r="E45" i="1"/>
  <c r="H45" i="1" s="1"/>
  <c r="E47" i="1"/>
  <c r="H47" i="1" s="1"/>
  <c r="E49" i="1"/>
  <c r="H49" i="1" s="1"/>
  <c r="E51" i="1"/>
  <c r="H51" i="1" s="1"/>
  <c r="E53" i="1"/>
  <c r="H53" i="1" s="1"/>
  <c r="E55" i="1"/>
  <c r="H55" i="1" s="1"/>
  <c r="E57" i="1"/>
  <c r="H57" i="1" s="1"/>
  <c r="E59" i="1"/>
  <c r="H59" i="1" s="1"/>
  <c r="I59" i="1" s="1"/>
  <c r="E61" i="1"/>
  <c r="H61" i="1" s="1"/>
  <c r="E63" i="1"/>
  <c r="H63" i="1" s="1"/>
  <c r="E65" i="1"/>
  <c r="H65" i="1" s="1"/>
  <c r="E67" i="1"/>
  <c r="H67" i="1" s="1"/>
  <c r="E69" i="1"/>
  <c r="H69" i="1" s="1"/>
  <c r="E71" i="1"/>
  <c r="H71" i="1" s="1"/>
  <c r="E73" i="1"/>
  <c r="H73" i="1" s="1"/>
  <c r="E75" i="1"/>
  <c r="H75" i="1" s="1"/>
  <c r="E77" i="1"/>
  <c r="H77" i="1" s="1"/>
  <c r="E79" i="1"/>
  <c r="H79" i="1" s="1"/>
  <c r="E81" i="1"/>
  <c r="H81" i="1" s="1"/>
  <c r="E83" i="1"/>
  <c r="H83" i="1" s="1"/>
  <c r="E85" i="1"/>
  <c r="H85" i="1" s="1"/>
  <c r="I85" i="1" s="1"/>
  <c r="E87" i="1"/>
  <c r="H87" i="1" s="1"/>
  <c r="E89" i="1"/>
  <c r="H89" i="1" s="1"/>
  <c r="E91" i="1"/>
  <c r="H91" i="1" s="1"/>
  <c r="I91" i="1" s="1"/>
  <c r="E93" i="1"/>
  <c r="H93" i="1" s="1"/>
  <c r="C15" i="1"/>
  <c r="F15" i="1" s="1"/>
  <c r="C35" i="1"/>
  <c r="F35" i="1" s="1"/>
  <c r="I35" i="1" s="1"/>
  <c r="D19" i="1"/>
  <c r="G19" i="1" s="1"/>
  <c r="C25" i="1"/>
  <c r="F25" i="1" s="1"/>
  <c r="C31" i="1"/>
  <c r="F31" i="1" s="1"/>
  <c r="I31" i="1" s="1"/>
  <c r="C37" i="1"/>
  <c r="F37" i="1" s="1"/>
  <c r="D23" i="1"/>
  <c r="G23" i="1" s="1"/>
  <c r="C17" i="1"/>
  <c r="F17" i="1" s="1"/>
  <c r="I86" i="1" l="1"/>
  <c r="I37" i="1"/>
  <c r="I56" i="1"/>
  <c r="I90" i="1"/>
  <c r="I32" i="1"/>
  <c r="I25" i="1"/>
  <c r="I70" i="1"/>
  <c r="I20" i="1"/>
  <c r="I88" i="1"/>
  <c r="I58" i="1"/>
  <c r="I44" i="1"/>
  <c r="I17" i="1"/>
  <c r="I50" i="1"/>
  <c r="I68" i="1"/>
  <c r="I15" i="1"/>
  <c r="I38" i="1"/>
</calcChain>
</file>

<file path=xl/sharedStrings.xml><?xml version="1.0" encoding="utf-8"?>
<sst xmlns="http://schemas.openxmlformats.org/spreadsheetml/2006/main" count="29" uniqueCount="29">
  <si>
    <t>PP追加報酬による操舵の比較</t>
  </si>
  <si>
    <t>お手本 −40～+40 deg（1 deg刻み・81行）｜ PP参照が有効・未終了の1ステップを比較</t>
  </si>
  <si>
    <t>設定</t>
  </si>
  <si>
    <t>値</t>
  </si>
  <si>
    <t>単位</t>
  </si>
  <si>
    <t>操舵候補</t>
  </si>
  <si>
    <t>適用操舵
u_applied</t>
  </si>
  <si>
    <t>適用角度
(deg)</t>
  </si>
  <si>
    <t>最大操舵角</t>
  </si>
  <si>
    <t>deg</t>
  </si>
  <si>
    <t>右</t>
  </si>
  <si>
    <t>PP重み w</t>
  </si>
  <si>
    <t>—</t>
  </si>
  <si>
    <t>直進</t>
  </si>
  <si>
    <t>時間幅 Δt</t>
  </si>
  <si>
    <t>秒</t>
  </si>
  <si>
    <t>左</t>
  </si>
  <si>
    <t>B5:B7 の設定値を変更すると再計算します。判定はPP追加報酬のみの比較です。</t>
  </si>
  <si>
    <t>計算：u_PP = MAX(−1, MIN(1, お手本角度 / 最大操舵角))</t>
  </si>
  <si>
    <t>操舵誤差 e = ABS(u_applied − u_PP) / 2　｜　PP追加報酬 r = −w × Δt × e</t>
  </si>
  <si>
    <t>お手本角度
(deg)</t>
  </si>
  <si>
    <t>お手本操舵
u_PP</t>
  </si>
  <si>
    <t>右の誤差
e</t>
  </si>
  <si>
    <t>直進の誤差
e</t>
  </si>
  <si>
    <t>左の誤差
e</t>
  </si>
  <si>
    <t>右の追加報酬
r</t>
  </si>
  <si>
    <t>直進の追加報酬
r</t>
  </si>
  <si>
    <t>左の追加報酬
r</t>
  </si>
  <si>
    <t>判定
（PP追加報酬のみ）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</si>
</sst>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\+0;\-0;0"/>
    <numFmt numFmtId="179" formatCode="0.0000"/>
    <numFmt numFmtId="180" formatCode="0.00000;\-0.00000;0.00000"/>
    <numFmt numFmtId="181" formatCode="0.0000;\-0.0000;0.0000"/>
  </numFmts>
  <fonts count="9">
    <font>
      <sz val="11"/>
      <name val="Carlito"/>
    </font>
    <font>
      <sz val="11"/>
      <color rgb="FF243746"/>
      <name val="Yu Gothic"/>
      <family val="3"/>
      <charset val="128"/>
    </font>
    <font>
      <sz val="11"/>
      <color rgb="FF222222"/>
      <name val="Yu Gothic"/>
      <family val="3"/>
      <charset val="128"/>
    </font>
    <font>
      <b/>
      <sz val="16"/>
      <color rgb="FF222222"/>
      <name val="Yu Gothic"/>
      <family val="3"/>
      <charset val="128"/>
    </font>
    <font>
      <sz val="10"/>
      <color rgb="FF555555"/>
      <name val="Yu Gothic"/>
      <family val="3"/>
      <charset val="128"/>
    </font>
    <font>
      <b/>
      <sz val="11"/>
      <color rgb="FF222222"/>
      <name val="Yu Gothic"/>
      <family val="3"/>
      <charset val="128"/>
    </font>
    <font>
      <sz val="9"/>
      <color rgb="FF666666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CECEC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2">
    <xf numFmtId="0" fontId="0" fillId="0" borderId="0"/>
    <xf numFmtId="0" fontId="7" fillId="0" borderId="0"/>
  </cellStyleXfs>
  <cellXfs count="16">
    <xf numFmtId="0" fontId="0" fillId="0" borderId="0" xfId="0"/>
    <xf numFmtId="0" fontId="1" fillId="0" borderId="0" xfId="1" applyFont="1" applyAlignment="1">
      <alignment vertical="center"/>
    </xf>
    <xf numFmtId="0" fontId="2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4" fillId="2" borderId="1" xfId="1" applyFont="1" applyFill="1" applyBorder="1" applyAlignment="1">
      <alignment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left" vertical="center"/>
    </xf>
    <xf numFmtId="179" fontId="2" fillId="2" borderId="2" xfId="1" applyNumberFormat="1" applyFont="1" applyFill="1" applyBorder="1" applyAlignment="1">
      <alignment horizontal="right" vertical="center"/>
    </xf>
    <xf numFmtId="180" fontId="2" fillId="2" borderId="2" xfId="1" applyNumberFormat="1" applyFont="1" applyFill="1" applyBorder="1" applyAlignment="1">
      <alignment horizontal="right" vertical="center"/>
    </xf>
    <xf numFmtId="0" fontId="5" fillId="3" borderId="2" xfId="1" applyFont="1" applyFill="1" applyBorder="1" applyAlignment="1">
      <alignment horizontal="center" vertical="center" wrapText="1"/>
    </xf>
    <xf numFmtId="1" fontId="5" fillId="4" borderId="2" xfId="1" applyNumberFormat="1" applyFont="1" applyFill="1" applyBorder="1" applyAlignment="1">
      <alignment horizontal="right" vertical="center"/>
    </xf>
    <xf numFmtId="177" fontId="2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horizontal="center" vertical="center"/>
    </xf>
    <xf numFmtId="181" fontId="2" fillId="2" borderId="2" xfId="1" applyNumberFormat="1" applyFont="1" applyFill="1" applyBorder="1" applyAlignment="1">
      <alignment horizontal="right" vertical="center"/>
    </xf>
    <xf numFmtId="0" fontId="6" fillId="2" borderId="1" xfId="1" applyFont="1" applyFill="1" applyBorder="1" applyAlignment="1">
      <alignment vertical="center"/>
    </xf>
    <xf numFmtId="0" fontId="5" fillId="4" borderId="2" xfId="1" applyFont="1" applyFill="1" applyBorder="1" applyAlignment="1">
      <alignment horizontal="right"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showGridLines="0" tabSelected="1" topLeftCell="A74" workbookViewId="0">
      <selection activeCell="B95" sqref="B95"/>
    </sheetView>
  </sheetViews>
  <sheetFormatPr defaultRowHeight="14"/>
  <cols>
    <col min="1" max="1" width="16" customWidth="1"/>
    <col min="2" max="2" width="15" customWidth="1"/>
    <col min="3" max="5" width="13" customWidth="1"/>
    <col min="6" max="8" width="17" customWidth="1"/>
    <col min="9" max="9" width="32" customWidth="1"/>
  </cols>
  <sheetData>
    <row r="1" spans="1:9" ht="30" customHeight="1">
      <c r="A1" s="3" t="s">
        <v>0</v>
      </c>
      <c r="B1" s="2"/>
      <c r="C1" s="2"/>
      <c r="D1" s="2"/>
      <c r="E1" s="2"/>
      <c r="F1" s="2"/>
      <c r="G1" s="2"/>
      <c r="H1" s="2"/>
      <c r="I1" s="2"/>
    </row>
    <row r="2" spans="1:9" ht="22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3" spans="1:9" ht="9" customHeight="1">
      <c r="A3" s="2"/>
      <c r="B3" s="2"/>
      <c r="C3" s="2"/>
      <c r="D3" s="2"/>
      <c r="E3" s="2"/>
      <c r="F3" s="2"/>
      <c r="G3" s="2"/>
      <c r="H3" s="2"/>
      <c r="I3" s="2"/>
    </row>
    <row r="4" spans="1:9" ht="36" customHeight="1">
      <c r="A4" s="9" t="s">
        <v>2</v>
      </c>
      <c r="B4" s="9" t="s">
        <v>3</v>
      </c>
      <c r="C4" s="9" t="s">
        <v>4</v>
      </c>
      <c r="D4" s="2"/>
      <c r="E4" s="2"/>
      <c r="F4" s="9" t="s">
        <v>5</v>
      </c>
      <c r="G4" s="9" t="s">
        <v>6</v>
      </c>
      <c r="H4" s="9" t="s">
        <v>7</v>
      </c>
      <c r="I4" s="2"/>
    </row>
    <row r="5" spans="1:9" ht="21" customHeight="1">
      <c r="A5" s="6" t="s">
        <v>8</v>
      </c>
      <c r="B5" s="10">
        <v>40</v>
      </c>
      <c r="C5" s="5" t="s">
        <v>9</v>
      </c>
      <c r="D5" s="2"/>
      <c r="E5" s="2"/>
      <c r="F5" s="5" t="s">
        <v>10</v>
      </c>
      <c r="G5" s="11">
        <v>-1</v>
      </c>
      <c r="H5" s="11">
        <f>G5*$B$5</f>
        <v>-40</v>
      </c>
      <c r="I5" s="2"/>
    </row>
    <row r="6" spans="1:9" ht="21" customHeight="1">
      <c r="A6" s="6" t="s">
        <v>11</v>
      </c>
      <c r="B6" s="15">
        <v>1</v>
      </c>
      <c r="C6" s="5" t="s">
        <v>12</v>
      </c>
      <c r="D6" s="2"/>
      <c r="E6" s="2"/>
      <c r="F6" s="5" t="s">
        <v>13</v>
      </c>
      <c r="G6" s="11">
        <v>0</v>
      </c>
      <c r="H6" s="11">
        <f>G6*$B$5</f>
        <v>0</v>
      </c>
      <c r="I6" s="2"/>
    </row>
    <row r="7" spans="1:9" ht="21" customHeight="1">
      <c r="A7" s="6" t="s">
        <v>14</v>
      </c>
      <c r="B7" s="15">
        <v>0.1</v>
      </c>
      <c r="C7" s="5" t="s">
        <v>15</v>
      </c>
      <c r="D7" s="2"/>
      <c r="E7" s="2"/>
      <c r="F7" s="5" t="s">
        <v>16</v>
      </c>
      <c r="G7" s="11">
        <v>1</v>
      </c>
      <c r="H7" s="11">
        <f>G7*$B$5</f>
        <v>40</v>
      </c>
      <c r="I7" s="2"/>
    </row>
    <row r="8" spans="1:9" ht="21" customHeight="1">
      <c r="A8" s="4" t="s">
        <v>17</v>
      </c>
      <c r="B8" s="4"/>
      <c r="C8" s="4"/>
      <c r="D8" s="4"/>
      <c r="E8" s="4"/>
      <c r="F8" s="4"/>
      <c r="G8" s="4"/>
      <c r="H8" s="4"/>
      <c r="I8" s="4"/>
    </row>
    <row r="9" spans="1:9" ht="21" customHeight="1">
      <c r="A9" s="4" t="s">
        <v>18</v>
      </c>
      <c r="B9" s="4"/>
      <c r="C9" s="4"/>
      <c r="D9" s="4"/>
      <c r="E9" s="4"/>
      <c r="F9" s="4"/>
      <c r="G9" s="4"/>
      <c r="H9" s="4"/>
      <c r="I9" s="4"/>
    </row>
    <row r="10" spans="1:9" ht="21" customHeight="1">
      <c r="A10" s="4" t="s">
        <v>19</v>
      </c>
      <c r="B10" s="4"/>
      <c r="C10" s="4"/>
      <c r="D10" s="4"/>
      <c r="E10" s="4"/>
      <c r="F10" s="4"/>
      <c r="G10" s="4"/>
      <c r="H10" s="4"/>
      <c r="I10" s="4"/>
    </row>
    <row r="11" spans="1:9" ht="10" customHeight="1">
      <c r="A11" s="2"/>
      <c r="B11" s="2"/>
      <c r="C11" s="2"/>
      <c r="D11" s="2"/>
      <c r="E11" s="2"/>
      <c r="F11" s="2"/>
      <c r="G11" s="2"/>
      <c r="H11" s="2"/>
      <c r="I11" s="2"/>
    </row>
    <row r="12" spans="1:9" ht="40" customHeight="1">
      <c r="A12" s="9" t="s">
        <v>20</v>
      </c>
      <c r="B12" s="9" t="s">
        <v>21</v>
      </c>
      <c r="C12" s="9" t="s">
        <v>22</v>
      </c>
      <c r="D12" s="9" t="s">
        <v>23</v>
      </c>
      <c r="E12" s="9" t="s">
        <v>24</v>
      </c>
      <c r="F12" s="9" t="s">
        <v>25</v>
      </c>
      <c r="G12" s="9" t="s">
        <v>26</v>
      </c>
      <c r="H12" s="9" t="s">
        <v>27</v>
      </c>
      <c r="I12" s="9" t="s">
        <v>28</v>
      </c>
    </row>
    <row r="13" spans="1:9" ht="21" customHeight="1">
      <c r="A13" s="11">
        <v>-40</v>
      </c>
      <c r="B13" s="13">
        <f t="shared" ref="B13:B44" si="0">MAX(-1,MIN(1,A13/$B$5))</f>
        <v>-1</v>
      </c>
      <c r="C13" s="7">
        <f t="shared" ref="C13:C44" si="1">ABS($G$5-B13)/2</f>
        <v>0</v>
      </c>
      <c r="D13" s="7">
        <f t="shared" ref="D13:D44" si="2">ABS($G$6-B13)/2</f>
        <v>0.5</v>
      </c>
      <c r="E13" s="7">
        <f t="shared" ref="E13:E44" si="3">ABS($G$7-B13)/2</f>
        <v>1</v>
      </c>
      <c r="F13" s="8">
        <f t="shared" ref="F13:F44" si="4">-$B$6*$B$7*C13</f>
        <v>0</v>
      </c>
      <c r="G13" s="8">
        <f t="shared" ref="G13:G44" si="5">-$B$6*$B$7*D13</f>
        <v>-0.05</v>
      </c>
      <c r="H13" s="8">
        <f t="shared" ref="H13:H44" si="6">-$B$6*$B$7*E13</f>
        <v>-0.1</v>
      </c>
      <c r="I13" s="12" t="str">
        <f t="shared" ref="I13:I44" si="7">IF(F13=MAX(F13:H13),$F$5,"")&amp;IF(G13=MAX(F13:H13),IF(F13=MAX(F13:H13),"／","")&amp;$F$6,"")&amp;IF(H13=MAX(F13:H13),IF(MAX(F13:G13)=MAX(F13:H13),"／","")&amp;$F$7,"")&amp;IF(COUNTIF(F13:H13,MAX(F13:H13))&gt;1,"（同点）","")</f>
        <v>右</v>
      </c>
    </row>
    <row r="14" spans="1:9" ht="21" customHeight="1">
      <c r="A14" s="11">
        <v>-39</v>
      </c>
      <c r="B14" s="13">
        <f t="shared" si="0"/>
        <v>-0.97499999999999998</v>
      </c>
      <c r="C14" s="7">
        <f t="shared" si="1"/>
        <v>1.2500000000000011E-2</v>
      </c>
      <c r="D14" s="7">
        <f t="shared" si="2"/>
        <v>0.48749999999999999</v>
      </c>
      <c r="E14" s="7">
        <f t="shared" si="3"/>
        <v>0.98750000000000004</v>
      </c>
      <c r="F14" s="8">
        <f t="shared" si="4"/>
        <v>-1.2500000000000011E-3</v>
      </c>
      <c r="G14" s="8">
        <f t="shared" si="5"/>
        <v>-4.8750000000000002E-2</v>
      </c>
      <c r="H14" s="8">
        <f t="shared" si="6"/>
        <v>-9.8750000000000004E-2</v>
      </c>
      <c r="I14" s="12" t="str">
        <f t="shared" si="7"/>
        <v>右</v>
      </c>
    </row>
    <row r="15" spans="1:9" ht="21" customHeight="1">
      <c r="A15" s="11">
        <v>-38</v>
      </c>
      <c r="B15" s="13">
        <f t="shared" si="0"/>
        <v>-0.95</v>
      </c>
      <c r="C15" s="7">
        <f t="shared" si="1"/>
        <v>2.5000000000000022E-2</v>
      </c>
      <c r="D15" s="7">
        <f t="shared" si="2"/>
        <v>0.47499999999999998</v>
      </c>
      <c r="E15" s="7">
        <f t="shared" si="3"/>
        <v>0.97499999999999998</v>
      </c>
      <c r="F15" s="8">
        <f t="shared" si="4"/>
        <v>-2.5000000000000022E-3</v>
      </c>
      <c r="G15" s="8">
        <f t="shared" si="5"/>
        <v>-4.7500000000000001E-2</v>
      </c>
      <c r="H15" s="8">
        <f t="shared" si="6"/>
        <v>-9.7500000000000003E-2</v>
      </c>
      <c r="I15" s="12" t="str">
        <f t="shared" si="7"/>
        <v>右</v>
      </c>
    </row>
    <row r="16" spans="1:9" ht="21" customHeight="1">
      <c r="A16" s="11">
        <v>-37</v>
      </c>
      <c r="B16" s="13">
        <f t="shared" si="0"/>
        <v>-0.92500000000000004</v>
      </c>
      <c r="C16" s="7">
        <f t="shared" si="1"/>
        <v>3.7499999999999978E-2</v>
      </c>
      <c r="D16" s="7">
        <f t="shared" si="2"/>
        <v>0.46250000000000002</v>
      </c>
      <c r="E16" s="7">
        <f t="shared" si="3"/>
        <v>0.96250000000000002</v>
      </c>
      <c r="F16" s="8">
        <f t="shared" si="4"/>
        <v>-3.7499999999999981E-3</v>
      </c>
      <c r="G16" s="8">
        <f t="shared" si="5"/>
        <v>-4.6250000000000006E-2</v>
      </c>
      <c r="H16" s="8">
        <f t="shared" si="6"/>
        <v>-9.6250000000000002E-2</v>
      </c>
      <c r="I16" s="12" t="str">
        <f t="shared" si="7"/>
        <v>右</v>
      </c>
    </row>
    <row r="17" spans="1:9" ht="21" customHeight="1">
      <c r="A17" s="11">
        <v>-36</v>
      </c>
      <c r="B17" s="13">
        <f t="shared" si="0"/>
        <v>-0.9</v>
      </c>
      <c r="C17" s="7">
        <f t="shared" si="1"/>
        <v>4.9999999999999989E-2</v>
      </c>
      <c r="D17" s="7">
        <f t="shared" si="2"/>
        <v>0.45</v>
      </c>
      <c r="E17" s="7">
        <f t="shared" si="3"/>
        <v>0.95</v>
      </c>
      <c r="F17" s="8">
        <f t="shared" si="4"/>
        <v>-4.9999999999999992E-3</v>
      </c>
      <c r="G17" s="8">
        <f t="shared" si="5"/>
        <v>-4.5000000000000005E-2</v>
      </c>
      <c r="H17" s="8">
        <f t="shared" si="6"/>
        <v>-9.5000000000000001E-2</v>
      </c>
      <c r="I17" s="12" t="str">
        <f t="shared" si="7"/>
        <v>右</v>
      </c>
    </row>
    <row r="18" spans="1:9" ht="21" customHeight="1">
      <c r="A18" s="11">
        <v>-35</v>
      </c>
      <c r="B18" s="13">
        <f t="shared" si="0"/>
        <v>-0.875</v>
      </c>
      <c r="C18" s="7">
        <f t="shared" si="1"/>
        <v>6.25E-2</v>
      </c>
      <c r="D18" s="7">
        <f t="shared" si="2"/>
        <v>0.4375</v>
      </c>
      <c r="E18" s="7">
        <f t="shared" si="3"/>
        <v>0.9375</v>
      </c>
      <c r="F18" s="8">
        <f t="shared" si="4"/>
        <v>-6.2500000000000003E-3</v>
      </c>
      <c r="G18" s="8">
        <f t="shared" si="5"/>
        <v>-4.3750000000000004E-2</v>
      </c>
      <c r="H18" s="8">
        <f t="shared" si="6"/>
        <v>-9.375E-2</v>
      </c>
      <c r="I18" s="12" t="str">
        <f t="shared" si="7"/>
        <v>右</v>
      </c>
    </row>
    <row r="19" spans="1:9" ht="21" customHeight="1">
      <c r="A19" s="11">
        <v>-34</v>
      </c>
      <c r="B19" s="13">
        <f t="shared" si="0"/>
        <v>-0.85</v>
      </c>
      <c r="C19" s="7">
        <f t="shared" si="1"/>
        <v>7.5000000000000011E-2</v>
      </c>
      <c r="D19" s="7">
        <f t="shared" si="2"/>
        <v>0.42499999999999999</v>
      </c>
      <c r="E19" s="7">
        <f t="shared" si="3"/>
        <v>0.92500000000000004</v>
      </c>
      <c r="F19" s="8">
        <f t="shared" si="4"/>
        <v>-7.5000000000000015E-3</v>
      </c>
      <c r="G19" s="8">
        <f t="shared" si="5"/>
        <v>-4.2500000000000003E-2</v>
      </c>
      <c r="H19" s="8">
        <f t="shared" si="6"/>
        <v>-9.2500000000000013E-2</v>
      </c>
      <c r="I19" s="12" t="str">
        <f t="shared" si="7"/>
        <v>右</v>
      </c>
    </row>
    <row r="20" spans="1:9" ht="21" customHeight="1">
      <c r="A20" s="11">
        <v>-33</v>
      </c>
      <c r="B20" s="13">
        <f t="shared" si="0"/>
        <v>-0.82499999999999996</v>
      </c>
      <c r="C20" s="7">
        <f t="shared" si="1"/>
        <v>8.7500000000000022E-2</v>
      </c>
      <c r="D20" s="7">
        <f t="shared" si="2"/>
        <v>0.41249999999999998</v>
      </c>
      <c r="E20" s="7">
        <f t="shared" si="3"/>
        <v>0.91249999999999998</v>
      </c>
      <c r="F20" s="8">
        <f t="shared" si="4"/>
        <v>-8.7500000000000026E-3</v>
      </c>
      <c r="G20" s="8">
        <f t="shared" si="5"/>
        <v>-4.1250000000000002E-2</v>
      </c>
      <c r="H20" s="8">
        <f t="shared" si="6"/>
        <v>-9.1249999999999998E-2</v>
      </c>
      <c r="I20" s="12" t="str">
        <f t="shared" si="7"/>
        <v>右</v>
      </c>
    </row>
    <row r="21" spans="1:9" ht="21" customHeight="1">
      <c r="A21" s="11">
        <v>-32</v>
      </c>
      <c r="B21" s="13">
        <f t="shared" si="0"/>
        <v>-0.8</v>
      </c>
      <c r="C21" s="7">
        <f t="shared" si="1"/>
        <v>9.9999999999999978E-2</v>
      </c>
      <c r="D21" s="7">
        <f t="shared" si="2"/>
        <v>0.4</v>
      </c>
      <c r="E21" s="7">
        <f t="shared" si="3"/>
        <v>0.9</v>
      </c>
      <c r="F21" s="8">
        <f t="shared" si="4"/>
        <v>-9.9999999999999985E-3</v>
      </c>
      <c r="G21" s="8">
        <f t="shared" si="5"/>
        <v>-4.0000000000000008E-2</v>
      </c>
      <c r="H21" s="8">
        <f t="shared" si="6"/>
        <v>-9.0000000000000011E-2</v>
      </c>
      <c r="I21" s="12" t="str">
        <f t="shared" si="7"/>
        <v>右</v>
      </c>
    </row>
    <row r="22" spans="1:9" ht="21" customHeight="1">
      <c r="A22" s="11">
        <v>-31</v>
      </c>
      <c r="B22" s="13">
        <f t="shared" si="0"/>
        <v>-0.77500000000000002</v>
      </c>
      <c r="C22" s="7">
        <f t="shared" si="1"/>
        <v>0.11249999999999999</v>
      </c>
      <c r="D22" s="7">
        <f t="shared" si="2"/>
        <v>0.38750000000000001</v>
      </c>
      <c r="E22" s="7">
        <f t="shared" si="3"/>
        <v>0.88749999999999996</v>
      </c>
      <c r="F22" s="8">
        <f t="shared" si="4"/>
        <v>-1.125E-2</v>
      </c>
      <c r="G22" s="8">
        <f t="shared" si="5"/>
        <v>-3.8750000000000007E-2</v>
      </c>
      <c r="H22" s="8">
        <f t="shared" si="6"/>
        <v>-8.8749999999999996E-2</v>
      </c>
      <c r="I22" s="12" t="str">
        <f t="shared" si="7"/>
        <v>右</v>
      </c>
    </row>
    <row r="23" spans="1:9" ht="21" customHeight="1">
      <c r="A23" s="11">
        <v>-30</v>
      </c>
      <c r="B23" s="13">
        <f t="shared" si="0"/>
        <v>-0.75</v>
      </c>
      <c r="C23" s="7">
        <f t="shared" si="1"/>
        <v>0.125</v>
      </c>
      <c r="D23" s="7">
        <f t="shared" si="2"/>
        <v>0.375</v>
      </c>
      <c r="E23" s="7">
        <f t="shared" si="3"/>
        <v>0.875</v>
      </c>
      <c r="F23" s="8">
        <f t="shared" si="4"/>
        <v>-1.2500000000000001E-2</v>
      </c>
      <c r="G23" s="8">
        <f t="shared" si="5"/>
        <v>-3.7500000000000006E-2</v>
      </c>
      <c r="H23" s="8">
        <f t="shared" si="6"/>
        <v>-8.7500000000000008E-2</v>
      </c>
      <c r="I23" s="12" t="str">
        <f t="shared" si="7"/>
        <v>右</v>
      </c>
    </row>
    <row r="24" spans="1:9" ht="21" customHeight="1">
      <c r="A24" s="11">
        <v>-29</v>
      </c>
      <c r="B24" s="13">
        <f t="shared" si="0"/>
        <v>-0.72499999999999998</v>
      </c>
      <c r="C24" s="7">
        <f t="shared" si="1"/>
        <v>0.13750000000000001</v>
      </c>
      <c r="D24" s="7">
        <f t="shared" si="2"/>
        <v>0.36249999999999999</v>
      </c>
      <c r="E24" s="7">
        <f t="shared" si="3"/>
        <v>0.86250000000000004</v>
      </c>
      <c r="F24" s="8">
        <f t="shared" si="4"/>
        <v>-1.3750000000000002E-2</v>
      </c>
      <c r="G24" s="8">
        <f t="shared" si="5"/>
        <v>-3.6249999999999998E-2</v>
      </c>
      <c r="H24" s="8">
        <f t="shared" si="6"/>
        <v>-8.6250000000000007E-2</v>
      </c>
      <c r="I24" s="12" t="str">
        <f t="shared" si="7"/>
        <v>右</v>
      </c>
    </row>
    <row r="25" spans="1:9" ht="21" customHeight="1">
      <c r="A25" s="11">
        <v>-28</v>
      </c>
      <c r="B25" s="13">
        <f t="shared" si="0"/>
        <v>-0.7</v>
      </c>
      <c r="C25" s="7">
        <f t="shared" si="1"/>
        <v>0.15000000000000002</v>
      </c>
      <c r="D25" s="7">
        <f t="shared" si="2"/>
        <v>0.35</v>
      </c>
      <c r="E25" s="7">
        <f t="shared" si="3"/>
        <v>0.85</v>
      </c>
      <c r="F25" s="8">
        <f t="shared" si="4"/>
        <v>-1.5000000000000003E-2</v>
      </c>
      <c r="G25" s="8">
        <f t="shared" si="5"/>
        <v>-3.4999999999999996E-2</v>
      </c>
      <c r="H25" s="8">
        <f t="shared" si="6"/>
        <v>-8.5000000000000006E-2</v>
      </c>
      <c r="I25" s="12" t="str">
        <f t="shared" si="7"/>
        <v>右</v>
      </c>
    </row>
    <row r="26" spans="1:9" ht="21" customHeight="1">
      <c r="A26" s="11">
        <v>-27</v>
      </c>
      <c r="B26" s="13">
        <f t="shared" si="0"/>
        <v>-0.67500000000000004</v>
      </c>
      <c r="C26" s="7">
        <f t="shared" si="1"/>
        <v>0.16249999999999998</v>
      </c>
      <c r="D26" s="7">
        <f t="shared" si="2"/>
        <v>0.33750000000000002</v>
      </c>
      <c r="E26" s="7">
        <f t="shared" si="3"/>
        <v>0.83750000000000002</v>
      </c>
      <c r="F26" s="8">
        <f t="shared" si="4"/>
        <v>-1.6249999999999997E-2</v>
      </c>
      <c r="G26" s="8">
        <f t="shared" si="5"/>
        <v>-3.3750000000000002E-2</v>
      </c>
      <c r="H26" s="8">
        <f t="shared" si="6"/>
        <v>-8.3750000000000005E-2</v>
      </c>
      <c r="I26" s="12" t="str">
        <f t="shared" si="7"/>
        <v>右</v>
      </c>
    </row>
    <row r="27" spans="1:9" ht="21" customHeight="1">
      <c r="A27" s="11">
        <v>-26</v>
      </c>
      <c r="B27" s="13">
        <f t="shared" si="0"/>
        <v>-0.65</v>
      </c>
      <c r="C27" s="7">
        <f t="shared" si="1"/>
        <v>0.17499999999999999</v>
      </c>
      <c r="D27" s="7">
        <f t="shared" si="2"/>
        <v>0.32500000000000001</v>
      </c>
      <c r="E27" s="7">
        <f t="shared" si="3"/>
        <v>0.82499999999999996</v>
      </c>
      <c r="F27" s="8">
        <f t="shared" si="4"/>
        <v>-1.7499999999999998E-2</v>
      </c>
      <c r="G27" s="8">
        <f t="shared" si="5"/>
        <v>-3.2500000000000001E-2</v>
      </c>
      <c r="H27" s="8">
        <f t="shared" si="6"/>
        <v>-8.2500000000000004E-2</v>
      </c>
      <c r="I27" s="12" t="str">
        <f t="shared" si="7"/>
        <v>右</v>
      </c>
    </row>
    <row r="28" spans="1:9" ht="21" customHeight="1">
      <c r="A28" s="11">
        <v>-25</v>
      </c>
      <c r="B28" s="13">
        <f t="shared" si="0"/>
        <v>-0.625</v>
      </c>
      <c r="C28" s="7">
        <f t="shared" si="1"/>
        <v>0.1875</v>
      </c>
      <c r="D28" s="7">
        <f t="shared" si="2"/>
        <v>0.3125</v>
      </c>
      <c r="E28" s="7">
        <f t="shared" si="3"/>
        <v>0.8125</v>
      </c>
      <c r="F28" s="8">
        <f t="shared" si="4"/>
        <v>-1.8750000000000003E-2</v>
      </c>
      <c r="G28" s="8">
        <f t="shared" si="5"/>
        <v>-3.125E-2</v>
      </c>
      <c r="H28" s="8">
        <f t="shared" si="6"/>
        <v>-8.1250000000000003E-2</v>
      </c>
      <c r="I28" s="12" t="str">
        <f t="shared" si="7"/>
        <v>右</v>
      </c>
    </row>
    <row r="29" spans="1:9" ht="21" customHeight="1">
      <c r="A29" s="11">
        <v>-24</v>
      </c>
      <c r="B29" s="13">
        <f t="shared" si="0"/>
        <v>-0.6</v>
      </c>
      <c r="C29" s="7">
        <f t="shared" si="1"/>
        <v>0.2</v>
      </c>
      <c r="D29" s="7">
        <f t="shared" si="2"/>
        <v>0.3</v>
      </c>
      <c r="E29" s="7">
        <f t="shared" si="3"/>
        <v>0.8</v>
      </c>
      <c r="F29" s="8">
        <f t="shared" si="4"/>
        <v>-2.0000000000000004E-2</v>
      </c>
      <c r="G29" s="8">
        <f t="shared" si="5"/>
        <v>-0.03</v>
      </c>
      <c r="H29" s="8">
        <f t="shared" si="6"/>
        <v>-8.0000000000000016E-2</v>
      </c>
      <c r="I29" s="12" t="str">
        <f t="shared" si="7"/>
        <v>右</v>
      </c>
    </row>
    <row r="30" spans="1:9" ht="21" customHeight="1">
      <c r="A30" s="11">
        <v>-23</v>
      </c>
      <c r="B30" s="13">
        <f t="shared" si="0"/>
        <v>-0.57499999999999996</v>
      </c>
      <c r="C30" s="7">
        <f t="shared" si="1"/>
        <v>0.21250000000000002</v>
      </c>
      <c r="D30" s="7">
        <f t="shared" si="2"/>
        <v>0.28749999999999998</v>
      </c>
      <c r="E30" s="7">
        <f t="shared" si="3"/>
        <v>0.78749999999999998</v>
      </c>
      <c r="F30" s="8">
        <f t="shared" si="4"/>
        <v>-2.1250000000000005E-2</v>
      </c>
      <c r="G30" s="8">
        <f t="shared" si="5"/>
        <v>-2.8749999999999998E-2</v>
      </c>
      <c r="H30" s="8">
        <f t="shared" si="6"/>
        <v>-7.8750000000000001E-2</v>
      </c>
      <c r="I30" s="12" t="str">
        <f t="shared" si="7"/>
        <v>右</v>
      </c>
    </row>
    <row r="31" spans="1:9" ht="21" customHeight="1">
      <c r="A31" s="11">
        <v>-22</v>
      </c>
      <c r="B31" s="13">
        <f t="shared" si="0"/>
        <v>-0.55000000000000004</v>
      </c>
      <c r="C31" s="7">
        <f t="shared" si="1"/>
        <v>0.22499999999999998</v>
      </c>
      <c r="D31" s="7">
        <f t="shared" si="2"/>
        <v>0.27500000000000002</v>
      </c>
      <c r="E31" s="7">
        <f t="shared" si="3"/>
        <v>0.77500000000000002</v>
      </c>
      <c r="F31" s="8">
        <f t="shared" si="4"/>
        <v>-2.2499999999999999E-2</v>
      </c>
      <c r="G31" s="8">
        <f t="shared" si="5"/>
        <v>-2.7500000000000004E-2</v>
      </c>
      <c r="H31" s="8">
        <f t="shared" si="6"/>
        <v>-7.7500000000000013E-2</v>
      </c>
      <c r="I31" s="12" t="str">
        <f t="shared" si="7"/>
        <v>右</v>
      </c>
    </row>
    <row r="32" spans="1:9" ht="21" customHeight="1">
      <c r="A32" s="11">
        <v>-21</v>
      </c>
      <c r="B32" s="13">
        <f t="shared" si="0"/>
        <v>-0.52500000000000002</v>
      </c>
      <c r="C32" s="7">
        <f t="shared" si="1"/>
        <v>0.23749999999999999</v>
      </c>
      <c r="D32" s="7">
        <f t="shared" si="2"/>
        <v>0.26250000000000001</v>
      </c>
      <c r="E32" s="7">
        <f t="shared" si="3"/>
        <v>0.76249999999999996</v>
      </c>
      <c r="F32" s="8">
        <f t="shared" si="4"/>
        <v>-2.375E-2</v>
      </c>
      <c r="G32" s="8">
        <f t="shared" si="5"/>
        <v>-2.6250000000000002E-2</v>
      </c>
      <c r="H32" s="8">
        <f t="shared" si="6"/>
        <v>-7.6249999999999998E-2</v>
      </c>
      <c r="I32" s="12" t="str">
        <f t="shared" si="7"/>
        <v>右</v>
      </c>
    </row>
    <row r="33" spans="1:9" ht="21" customHeight="1">
      <c r="A33" s="11">
        <v>-20</v>
      </c>
      <c r="B33" s="13">
        <f t="shared" si="0"/>
        <v>-0.5</v>
      </c>
      <c r="C33" s="7">
        <f t="shared" si="1"/>
        <v>0.25</v>
      </c>
      <c r="D33" s="7">
        <f t="shared" si="2"/>
        <v>0.25</v>
      </c>
      <c r="E33" s="7">
        <f t="shared" si="3"/>
        <v>0.75</v>
      </c>
      <c r="F33" s="8">
        <f t="shared" si="4"/>
        <v>-2.5000000000000001E-2</v>
      </c>
      <c r="G33" s="8">
        <f t="shared" si="5"/>
        <v>-2.5000000000000001E-2</v>
      </c>
      <c r="H33" s="8">
        <f t="shared" si="6"/>
        <v>-7.5000000000000011E-2</v>
      </c>
      <c r="I33" s="12" t="str">
        <f t="shared" si="7"/>
        <v>右／直進（同点）</v>
      </c>
    </row>
    <row r="34" spans="1:9" ht="21" customHeight="1">
      <c r="A34" s="11">
        <v>-19</v>
      </c>
      <c r="B34" s="13">
        <f t="shared" si="0"/>
        <v>-0.47499999999999998</v>
      </c>
      <c r="C34" s="7">
        <f t="shared" si="1"/>
        <v>0.26250000000000001</v>
      </c>
      <c r="D34" s="7">
        <f t="shared" si="2"/>
        <v>0.23749999999999999</v>
      </c>
      <c r="E34" s="7">
        <f t="shared" si="3"/>
        <v>0.73750000000000004</v>
      </c>
      <c r="F34" s="8">
        <f t="shared" si="4"/>
        <v>-2.6250000000000002E-2</v>
      </c>
      <c r="G34" s="8">
        <f t="shared" si="5"/>
        <v>-2.375E-2</v>
      </c>
      <c r="H34" s="8">
        <f t="shared" si="6"/>
        <v>-7.375000000000001E-2</v>
      </c>
      <c r="I34" s="12" t="str">
        <f t="shared" si="7"/>
        <v>直進</v>
      </c>
    </row>
    <row r="35" spans="1:9" ht="21" customHeight="1">
      <c r="A35" s="11">
        <v>-18</v>
      </c>
      <c r="B35" s="13">
        <f t="shared" si="0"/>
        <v>-0.45</v>
      </c>
      <c r="C35" s="7">
        <f t="shared" si="1"/>
        <v>0.27500000000000002</v>
      </c>
      <c r="D35" s="7">
        <f t="shared" si="2"/>
        <v>0.22500000000000001</v>
      </c>
      <c r="E35" s="7">
        <f t="shared" si="3"/>
        <v>0.72499999999999998</v>
      </c>
      <c r="F35" s="8">
        <f t="shared" si="4"/>
        <v>-2.7500000000000004E-2</v>
      </c>
      <c r="G35" s="8">
        <f t="shared" si="5"/>
        <v>-2.2500000000000003E-2</v>
      </c>
      <c r="H35" s="8">
        <f t="shared" si="6"/>
        <v>-7.2499999999999995E-2</v>
      </c>
      <c r="I35" s="12" t="str">
        <f t="shared" si="7"/>
        <v>直進</v>
      </c>
    </row>
    <row r="36" spans="1:9" ht="21" customHeight="1">
      <c r="A36" s="11">
        <v>-17</v>
      </c>
      <c r="B36" s="13">
        <f t="shared" si="0"/>
        <v>-0.42499999999999999</v>
      </c>
      <c r="C36" s="7">
        <f t="shared" si="1"/>
        <v>0.28749999999999998</v>
      </c>
      <c r="D36" s="7">
        <f t="shared" si="2"/>
        <v>0.21249999999999999</v>
      </c>
      <c r="E36" s="7">
        <f t="shared" si="3"/>
        <v>0.71250000000000002</v>
      </c>
      <c r="F36" s="8">
        <f t="shared" si="4"/>
        <v>-2.8749999999999998E-2</v>
      </c>
      <c r="G36" s="8">
        <f t="shared" si="5"/>
        <v>-2.1250000000000002E-2</v>
      </c>
      <c r="H36" s="8">
        <f t="shared" si="6"/>
        <v>-7.1250000000000008E-2</v>
      </c>
      <c r="I36" s="12" t="str">
        <f t="shared" si="7"/>
        <v>直進</v>
      </c>
    </row>
    <row r="37" spans="1:9" ht="21" customHeight="1">
      <c r="A37" s="11">
        <v>-16</v>
      </c>
      <c r="B37" s="13">
        <f t="shared" si="0"/>
        <v>-0.4</v>
      </c>
      <c r="C37" s="7">
        <f t="shared" si="1"/>
        <v>0.3</v>
      </c>
      <c r="D37" s="7">
        <f t="shared" si="2"/>
        <v>0.2</v>
      </c>
      <c r="E37" s="7">
        <f t="shared" si="3"/>
        <v>0.7</v>
      </c>
      <c r="F37" s="8">
        <f t="shared" si="4"/>
        <v>-0.03</v>
      </c>
      <c r="G37" s="8">
        <f t="shared" si="5"/>
        <v>-2.0000000000000004E-2</v>
      </c>
      <c r="H37" s="8">
        <f t="shared" si="6"/>
        <v>-6.9999999999999993E-2</v>
      </c>
      <c r="I37" s="12" t="str">
        <f t="shared" si="7"/>
        <v>直進</v>
      </c>
    </row>
    <row r="38" spans="1:9" ht="21" customHeight="1">
      <c r="A38" s="11">
        <v>-15</v>
      </c>
      <c r="B38" s="13">
        <f t="shared" si="0"/>
        <v>-0.375</v>
      </c>
      <c r="C38" s="7">
        <f t="shared" si="1"/>
        <v>0.3125</v>
      </c>
      <c r="D38" s="7">
        <f t="shared" si="2"/>
        <v>0.1875</v>
      </c>
      <c r="E38" s="7">
        <f t="shared" si="3"/>
        <v>0.6875</v>
      </c>
      <c r="F38" s="8">
        <f t="shared" si="4"/>
        <v>-3.125E-2</v>
      </c>
      <c r="G38" s="8">
        <f t="shared" si="5"/>
        <v>-1.8750000000000003E-2</v>
      </c>
      <c r="H38" s="8">
        <f t="shared" si="6"/>
        <v>-6.8750000000000006E-2</v>
      </c>
      <c r="I38" s="12" t="str">
        <f t="shared" si="7"/>
        <v>直進</v>
      </c>
    </row>
    <row r="39" spans="1:9" ht="21" customHeight="1">
      <c r="A39" s="11">
        <v>-14</v>
      </c>
      <c r="B39" s="13">
        <f t="shared" si="0"/>
        <v>-0.35</v>
      </c>
      <c r="C39" s="7">
        <f t="shared" si="1"/>
        <v>0.32500000000000001</v>
      </c>
      <c r="D39" s="7">
        <f t="shared" si="2"/>
        <v>0.17499999999999999</v>
      </c>
      <c r="E39" s="7">
        <f t="shared" si="3"/>
        <v>0.67500000000000004</v>
      </c>
      <c r="F39" s="8">
        <f t="shared" si="4"/>
        <v>-3.2500000000000001E-2</v>
      </c>
      <c r="G39" s="8">
        <f t="shared" si="5"/>
        <v>-1.7499999999999998E-2</v>
      </c>
      <c r="H39" s="8">
        <f t="shared" si="6"/>
        <v>-6.7500000000000004E-2</v>
      </c>
      <c r="I39" s="12" t="str">
        <f t="shared" si="7"/>
        <v>直進</v>
      </c>
    </row>
    <row r="40" spans="1:9" ht="21" customHeight="1">
      <c r="A40" s="11">
        <v>-13</v>
      </c>
      <c r="B40" s="13">
        <f t="shared" si="0"/>
        <v>-0.32500000000000001</v>
      </c>
      <c r="C40" s="7">
        <f t="shared" si="1"/>
        <v>0.33750000000000002</v>
      </c>
      <c r="D40" s="7">
        <f t="shared" si="2"/>
        <v>0.16250000000000001</v>
      </c>
      <c r="E40" s="7">
        <f t="shared" si="3"/>
        <v>0.66249999999999998</v>
      </c>
      <c r="F40" s="8">
        <f t="shared" si="4"/>
        <v>-3.3750000000000002E-2</v>
      </c>
      <c r="G40" s="8">
        <f t="shared" si="5"/>
        <v>-1.6250000000000001E-2</v>
      </c>
      <c r="H40" s="8">
        <f t="shared" si="6"/>
        <v>-6.6250000000000003E-2</v>
      </c>
      <c r="I40" s="12" t="str">
        <f t="shared" si="7"/>
        <v>直進</v>
      </c>
    </row>
    <row r="41" spans="1:9" ht="21" customHeight="1">
      <c r="A41" s="11">
        <v>-12</v>
      </c>
      <c r="B41" s="13">
        <f t="shared" si="0"/>
        <v>-0.3</v>
      </c>
      <c r="C41" s="7">
        <f t="shared" si="1"/>
        <v>0.35</v>
      </c>
      <c r="D41" s="7">
        <f t="shared" si="2"/>
        <v>0.15</v>
      </c>
      <c r="E41" s="7">
        <f t="shared" si="3"/>
        <v>0.65</v>
      </c>
      <c r="F41" s="8">
        <f t="shared" si="4"/>
        <v>-3.4999999999999996E-2</v>
      </c>
      <c r="G41" s="8">
        <f t="shared" si="5"/>
        <v>-1.4999999999999999E-2</v>
      </c>
      <c r="H41" s="8">
        <f t="shared" si="6"/>
        <v>-6.5000000000000002E-2</v>
      </c>
      <c r="I41" s="12" t="str">
        <f t="shared" si="7"/>
        <v>直進</v>
      </c>
    </row>
    <row r="42" spans="1:9" ht="21" customHeight="1">
      <c r="A42" s="11">
        <v>-11</v>
      </c>
      <c r="B42" s="13">
        <f t="shared" si="0"/>
        <v>-0.27500000000000002</v>
      </c>
      <c r="C42" s="7">
        <f t="shared" si="1"/>
        <v>0.36249999999999999</v>
      </c>
      <c r="D42" s="7">
        <f t="shared" si="2"/>
        <v>0.13750000000000001</v>
      </c>
      <c r="E42" s="7">
        <f t="shared" si="3"/>
        <v>0.63749999999999996</v>
      </c>
      <c r="F42" s="8">
        <f t="shared" si="4"/>
        <v>-3.6249999999999998E-2</v>
      </c>
      <c r="G42" s="8">
        <f t="shared" si="5"/>
        <v>-1.3750000000000002E-2</v>
      </c>
      <c r="H42" s="8">
        <f t="shared" si="6"/>
        <v>-6.3750000000000001E-2</v>
      </c>
      <c r="I42" s="12" t="str">
        <f t="shared" si="7"/>
        <v>直進</v>
      </c>
    </row>
    <row r="43" spans="1:9" ht="21" customHeight="1">
      <c r="A43" s="11">
        <v>-10</v>
      </c>
      <c r="B43" s="13">
        <f t="shared" si="0"/>
        <v>-0.25</v>
      </c>
      <c r="C43" s="7">
        <f t="shared" si="1"/>
        <v>0.375</v>
      </c>
      <c r="D43" s="7">
        <f t="shared" si="2"/>
        <v>0.125</v>
      </c>
      <c r="E43" s="7">
        <f t="shared" si="3"/>
        <v>0.625</v>
      </c>
      <c r="F43" s="8">
        <f t="shared" si="4"/>
        <v>-3.7500000000000006E-2</v>
      </c>
      <c r="G43" s="8">
        <f t="shared" si="5"/>
        <v>-1.2500000000000001E-2</v>
      </c>
      <c r="H43" s="8">
        <f t="shared" si="6"/>
        <v>-6.25E-2</v>
      </c>
      <c r="I43" s="12" t="str">
        <f t="shared" si="7"/>
        <v>直進</v>
      </c>
    </row>
    <row r="44" spans="1:9" ht="21" customHeight="1">
      <c r="A44" s="11">
        <v>-9</v>
      </c>
      <c r="B44" s="13">
        <f t="shared" si="0"/>
        <v>-0.22500000000000001</v>
      </c>
      <c r="C44" s="7">
        <f t="shared" si="1"/>
        <v>0.38750000000000001</v>
      </c>
      <c r="D44" s="7">
        <f t="shared" si="2"/>
        <v>0.1125</v>
      </c>
      <c r="E44" s="7">
        <f t="shared" si="3"/>
        <v>0.61250000000000004</v>
      </c>
      <c r="F44" s="8">
        <f t="shared" si="4"/>
        <v>-3.8750000000000007E-2</v>
      </c>
      <c r="G44" s="8">
        <f t="shared" si="5"/>
        <v>-1.1250000000000001E-2</v>
      </c>
      <c r="H44" s="8">
        <f t="shared" si="6"/>
        <v>-6.1250000000000006E-2</v>
      </c>
      <c r="I44" s="12" t="str">
        <f t="shared" si="7"/>
        <v>直進</v>
      </c>
    </row>
    <row r="45" spans="1:9" ht="21" customHeight="1">
      <c r="A45" s="11">
        <v>-8</v>
      </c>
      <c r="B45" s="13">
        <f t="shared" ref="B45:B76" si="8">MAX(-1,MIN(1,A45/$B$5))</f>
        <v>-0.2</v>
      </c>
      <c r="C45" s="7">
        <f t="shared" ref="C45:C76" si="9">ABS($G$5-B45)/2</f>
        <v>0.4</v>
      </c>
      <c r="D45" s="7">
        <f t="shared" ref="D45:D76" si="10">ABS($G$6-B45)/2</f>
        <v>0.1</v>
      </c>
      <c r="E45" s="7">
        <f t="shared" ref="E45:E76" si="11">ABS($G$7-B45)/2</f>
        <v>0.6</v>
      </c>
      <c r="F45" s="8">
        <f t="shared" ref="F45:F76" si="12">-$B$6*$B$7*C45</f>
        <v>-4.0000000000000008E-2</v>
      </c>
      <c r="G45" s="8">
        <f t="shared" ref="G45:G76" si="13">-$B$6*$B$7*D45</f>
        <v>-1.0000000000000002E-2</v>
      </c>
      <c r="H45" s="8">
        <f t="shared" ref="H45:H76" si="14">-$B$6*$B$7*E45</f>
        <v>-0.06</v>
      </c>
      <c r="I45" s="12" t="str">
        <f t="shared" ref="I45:I76" si="15">IF(F45=MAX(F45:H45),$F$5,"")&amp;IF(G45=MAX(F45:H45),IF(F45=MAX(F45:H45),"／","")&amp;$F$6,"")&amp;IF(H45=MAX(F45:H45),IF(MAX(F45:G45)=MAX(F45:H45),"／","")&amp;$F$7,"")&amp;IF(COUNTIF(F45:H45,MAX(F45:H45))&gt;1,"（同点）","")</f>
        <v>直進</v>
      </c>
    </row>
    <row r="46" spans="1:9" ht="21" customHeight="1">
      <c r="A46" s="11">
        <v>-7</v>
      </c>
      <c r="B46" s="13">
        <f t="shared" si="8"/>
        <v>-0.17499999999999999</v>
      </c>
      <c r="C46" s="7">
        <f t="shared" si="9"/>
        <v>0.41249999999999998</v>
      </c>
      <c r="D46" s="7">
        <f t="shared" si="10"/>
        <v>8.7499999999999994E-2</v>
      </c>
      <c r="E46" s="7">
        <f t="shared" si="11"/>
        <v>0.58750000000000002</v>
      </c>
      <c r="F46" s="8">
        <f t="shared" si="12"/>
        <v>-4.1250000000000002E-2</v>
      </c>
      <c r="G46" s="8">
        <f t="shared" si="13"/>
        <v>-8.7499999999999991E-3</v>
      </c>
      <c r="H46" s="8">
        <f t="shared" si="14"/>
        <v>-5.8750000000000004E-2</v>
      </c>
      <c r="I46" s="12" t="str">
        <f t="shared" si="15"/>
        <v>直進</v>
      </c>
    </row>
    <row r="47" spans="1:9" ht="21" customHeight="1">
      <c r="A47" s="11">
        <v>-6</v>
      </c>
      <c r="B47" s="13">
        <f t="shared" si="8"/>
        <v>-0.15</v>
      </c>
      <c r="C47" s="7">
        <f t="shared" si="9"/>
        <v>0.42499999999999999</v>
      </c>
      <c r="D47" s="7">
        <f t="shared" si="10"/>
        <v>7.4999999999999997E-2</v>
      </c>
      <c r="E47" s="7">
        <f t="shared" si="11"/>
        <v>0.57499999999999996</v>
      </c>
      <c r="F47" s="8">
        <f t="shared" si="12"/>
        <v>-4.2500000000000003E-2</v>
      </c>
      <c r="G47" s="8">
        <f t="shared" si="13"/>
        <v>-7.4999999999999997E-3</v>
      </c>
      <c r="H47" s="8">
        <f t="shared" si="14"/>
        <v>-5.7499999999999996E-2</v>
      </c>
      <c r="I47" s="12" t="str">
        <f t="shared" si="15"/>
        <v>直進</v>
      </c>
    </row>
    <row r="48" spans="1:9" ht="21" customHeight="1">
      <c r="A48" s="11">
        <v>-5</v>
      </c>
      <c r="B48" s="13">
        <f t="shared" si="8"/>
        <v>-0.125</v>
      </c>
      <c r="C48" s="7">
        <f t="shared" si="9"/>
        <v>0.4375</v>
      </c>
      <c r="D48" s="7">
        <f t="shared" si="10"/>
        <v>6.25E-2</v>
      </c>
      <c r="E48" s="7">
        <f t="shared" si="11"/>
        <v>0.5625</v>
      </c>
      <c r="F48" s="8">
        <f t="shared" si="12"/>
        <v>-4.3750000000000004E-2</v>
      </c>
      <c r="G48" s="8">
        <f t="shared" si="13"/>
        <v>-6.2500000000000003E-3</v>
      </c>
      <c r="H48" s="8">
        <f t="shared" si="14"/>
        <v>-5.6250000000000001E-2</v>
      </c>
      <c r="I48" s="12" t="str">
        <f t="shared" si="15"/>
        <v>直進</v>
      </c>
    </row>
    <row r="49" spans="1:9" ht="21" customHeight="1">
      <c r="A49" s="11">
        <v>-4</v>
      </c>
      <c r="B49" s="13">
        <f t="shared" si="8"/>
        <v>-0.1</v>
      </c>
      <c r="C49" s="7">
        <f t="shared" si="9"/>
        <v>0.45</v>
      </c>
      <c r="D49" s="7">
        <f t="shared" si="10"/>
        <v>0.05</v>
      </c>
      <c r="E49" s="7">
        <f t="shared" si="11"/>
        <v>0.55000000000000004</v>
      </c>
      <c r="F49" s="8">
        <f t="shared" si="12"/>
        <v>-4.5000000000000005E-2</v>
      </c>
      <c r="G49" s="8">
        <f t="shared" si="13"/>
        <v>-5.000000000000001E-3</v>
      </c>
      <c r="H49" s="8">
        <f t="shared" si="14"/>
        <v>-5.5000000000000007E-2</v>
      </c>
      <c r="I49" s="12" t="str">
        <f t="shared" si="15"/>
        <v>直進</v>
      </c>
    </row>
    <row r="50" spans="1:9" ht="21" customHeight="1">
      <c r="A50" s="11">
        <v>-3</v>
      </c>
      <c r="B50" s="13">
        <f t="shared" si="8"/>
        <v>-7.4999999999999997E-2</v>
      </c>
      <c r="C50" s="7">
        <f t="shared" si="9"/>
        <v>0.46250000000000002</v>
      </c>
      <c r="D50" s="7">
        <f t="shared" si="10"/>
        <v>3.7499999999999999E-2</v>
      </c>
      <c r="E50" s="7">
        <f t="shared" si="11"/>
        <v>0.53749999999999998</v>
      </c>
      <c r="F50" s="8">
        <f t="shared" si="12"/>
        <v>-4.6250000000000006E-2</v>
      </c>
      <c r="G50" s="8">
        <f t="shared" si="13"/>
        <v>-3.7499999999999999E-3</v>
      </c>
      <c r="H50" s="8">
        <f t="shared" si="14"/>
        <v>-5.3749999999999999E-2</v>
      </c>
      <c r="I50" s="12" t="str">
        <f t="shared" si="15"/>
        <v>直進</v>
      </c>
    </row>
    <row r="51" spans="1:9" ht="21" customHeight="1">
      <c r="A51" s="11">
        <v>-2</v>
      </c>
      <c r="B51" s="13">
        <f t="shared" si="8"/>
        <v>-0.05</v>
      </c>
      <c r="C51" s="7">
        <f t="shared" si="9"/>
        <v>0.47499999999999998</v>
      </c>
      <c r="D51" s="7">
        <f t="shared" si="10"/>
        <v>2.5000000000000001E-2</v>
      </c>
      <c r="E51" s="7">
        <f t="shared" si="11"/>
        <v>0.52500000000000002</v>
      </c>
      <c r="F51" s="8">
        <f t="shared" si="12"/>
        <v>-4.7500000000000001E-2</v>
      </c>
      <c r="G51" s="8">
        <f t="shared" si="13"/>
        <v>-2.5000000000000005E-3</v>
      </c>
      <c r="H51" s="8">
        <f t="shared" si="14"/>
        <v>-5.2500000000000005E-2</v>
      </c>
      <c r="I51" s="12" t="str">
        <f t="shared" si="15"/>
        <v>直進</v>
      </c>
    </row>
    <row r="52" spans="1:9" ht="21" customHeight="1">
      <c r="A52" s="11">
        <v>-1</v>
      </c>
      <c r="B52" s="13">
        <f t="shared" si="8"/>
        <v>-2.5000000000000001E-2</v>
      </c>
      <c r="C52" s="7">
        <f t="shared" si="9"/>
        <v>0.48749999999999999</v>
      </c>
      <c r="D52" s="7">
        <f t="shared" si="10"/>
        <v>1.2500000000000001E-2</v>
      </c>
      <c r="E52" s="7">
        <f t="shared" si="11"/>
        <v>0.51249999999999996</v>
      </c>
      <c r="F52" s="8">
        <f t="shared" si="12"/>
        <v>-4.8750000000000002E-2</v>
      </c>
      <c r="G52" s="8">
        <f t="shared" si="13"/>
        <v>-1.2500000000000002E-3</v>
      </c>
      <c r="H52" s="8">
        <f t="shared" si="14"/>
        <v>-5.1249999999999997E-2</v>
      </c>
      <c r="I52" s="12" t="str">
        <f t="shared" si="15"/>
        <v>直進</v>
      </c>
    </row>
    <row r="53" spans="1:9" ht="21" customHeight="1">
      <c r="A53" s="11">
        <v>0</v>
      </c>
      <c r="B53" s="13">
        <f t="shared" si="8"/>
        <v>0</v>
      </c>
      <c r="C53" s="7">
        <f t="shared" si="9"/>
        <v>0.5</v>
      </c>
      <c r="D53" s="7">
        <f t="shared" si="10"/>
        <v>0</v>
      </c>
      <c r="E53" s="7">
        <f t="shared" si="11"/>
        <v>0.5</v>
      </c>
      <c r="F53" s="8">
        <f t="shared" si="12"/>
        <v>-0.05</v>
      </c>
      <c r="G53" s="8">
        <f t="shared" si="13"/>
        <v>0</v>
      </c>
      <c r="H53" s="8">
        <f t="shared" si="14"/>
        <v>-0.05</v>
      </c>
      <c r="I53" s="12" t="str">
        <f t="shared" si="15"/>
        <v>直進</v>
      </c>
    </row>
    <row r="54" spans="1:9" ht="21" customHeight="1">
      <c r="A54" s="11">
        <v>1</v>
      </c>
      <c r="B54" s="13">
        <f t="shared" si="8"/>
        <v>2.5000000000000001E-2</v>
      </c>
      <c r="C54" s="7">
        <f t="shared" si="9"/>
        <v>0.51249999999999996</v>
      </c>
      <c r="D54" s="7">
        <f t="shared" si="10"/>
        <v>1.2500000000000001E-2</v>
      </c>
      <c r="E54" s="7">
        <f t="shared" si="11"/>
        <v>0.48749999999999999</v>
      </c>
      <c r="F54" s="8">
        <f t="shared" si="12"/>
        <v>-5.1249999999999997E-2</v>
      </c>
      <c r="G54" s="8">
        <f t="shared" si="13"/>
        <v>-1.2500000000000002E-3</v>
      </c>
      <c r="H54" s="8">
        <f t="shared" si="14"/>
        <v>-4.8750000000000002E-2</v>
      </c>
      <c r="I54" s="12" t="str">
        <f t="shared" si="15"/>
        <v>直進</v>
      </c>
    </row>
    <row r="55" spans="1:9" ht="21" customHeight="1">
      <c r="A55" s="11">
        <v>2</v>
      </c>
      <c r="B55" s="13">
        <f t="shared" si="8"/>
        <v>0.05</v>
      </c>
      <c r="C55" s="7">
        <f t="shared" si="9"/>
        <v>0.52500000000000002</v>
      </c>
      <c r="D55" s="7">
        <f t="shared" si="10"/>
        <v>2.5000000000000001E-2</v>
      </c>
      <c r="E55" s="7">
        <f t="shared" si="11"/>
        <v>0.47499999999999998</v>
      </c>
      <c r="F55" s="8">
        <f t="shared" si="12"/>
        <v>-5.2500000000000005E-2</v>
      </c>
      <c r="G55" s="8">
        <f t="shared" si="13"/>
        <v>-2.5000000000000005E-3</v>
      </c>
      <c r="H55" s="8">
        <f t="shared" si="14"/>
        <v>-4.7500000000000001E-2</v>
      </c>
      <c r="I55" s="12" t="str">
        <f t="shared" si="15"/>
        <v>直進</v>
      </c>
    </row>
    <row r="56" spans="1:9" ht="21" customHeight="1">
      <c r="A56" s="11">
        <v>3</v>
      </c>
      <c r="B56" s="13">
        <f t="shared" si="8"/>
        <v>7.4999999999999997E-2</v>
      </c>
      <c r="C56" s="7">
        <f t="shared" si="9"/>
        <v>0.53749999999999998</v>
      </c>
      <c r="D56" s="7">
        <f t="shared" si="10"/>
        <v>3.7499999999999999E-2</v>
      </c>
      <c r="E56" s="7">
        <f t="shared" si="11"/>
        <v>0.46250000000000002</v>
      </c>
      <c r="F56" s="8">
        <f t="shared" si="12"/>
        <v>-5.3749999999999999E-2</v>
      </c>
      <c r="G56" s="8">
        <f t="shared" si="13"/>
        <v>-3.7499999999999999E-3</v>
      </c>
      <c r="H56" s="8">
        <f t="shared" si="14"/>
        <v>-4.6250000000000006E-2</v>
      </c>
      <c r="I56" s="12" t="str">
        <f t="shared" si="15"/>
        <v>直進</v>
      </c>
    </row>
    <row r="57" spans="1:9" ht="21" customHeight="1">
      <c r="A57" s="11">
        <v>4</v>
      </c>
      <c r="B57" s="13">
        <f t="shared" si="8"/>
        <v>0.1</v>
      </c>
      <c r="C57" s="7">
        <f t="shared" si="9"/>
        <v>0.55000000000000004</v>
      </c>
      <c r="D57" s="7">
        <f t="shared" si="10"/>
        <v>0.05</v>
      </c>
      <c r="E57" s="7">
        <f t="shared" si="11"/>
        <v>0.45</v>
      </c>
      <c r="F57" s="8">
        <f t="shared" si="12"/>
        <v>-5.5000000000000007E-2</v>
      </c>
      <c r="G57" s="8">
        <f t="shared" si="13"/>
        <v>-5.000000000000001E-3</v>
      </c>
      <c r="H57" s="8">
        <f t="shared" si="14"/>
        <v>-4.5000000000000005E-2</v>
      </c>
      <c r="I57" s="12" t="str">
        <f t="shared" si="15"/>
        <v>直進</v>
      </c>
    </row>
    <row r="58" spans="1:9" ht="21" customHeight="1">
      <c r="A58" s="11">
        <v>5</v>
      </c>
      <c r="B58" s="13">
        <f t="shared" si="8"/>
        <v>0.125</v>
      </c>
      <c r="C58" s="7">
        <f t="shared" si="9"/>
        <v>0.5625</v>
      </c>
      <c r="D58" s="7">
        <f t="shared" si="10"/>
        <v>6.25E-2</v>
      </c>
      <c r="E58" s="7">
        <f t="shared" si="11"/>
        <v>0.4375</v>
      </c>
      <c r="F58" s="8">
        <f t="shared" si="12"/>
        <v>-5.6250000000000001E-2</v>
      </c>
      <c r="G58" s="8">
        <f t="shared" si="13"/>
        <v>-6.2500000000000003E-3</v>
      </c>
      <c r="H58" s="8">
        <f t="shared" si="14"/>
        <v>-4.3750000000000004E-2</v>
      </c>
      <c r="I58" s="12" t="str">
        <f t="shared" si="15"/>
        <v>直進</v>
      </c>
    </row>
    <row r="59" spans="1:9" ht="21" customHeight="1">
      <c r="A59" s="11">
        <v>6</v>
      </c>
      <c r="B59" s="13">
        <f t="shared" si="8"/>
        <v>0.15</v>
      </c>
      <c r="C59" s="7">
        <f t="shared" si="9"/>
        <v>0.57499999999999996</v>
      </c>
      <c r="D59" s="7">
        <f t="shared" si="10"/>
        <v>7.4999999999999997E-2</v>
      </c>
      <c r="E59" s="7">
        <f t="shared" si="11"/>
        <v>0.42499999999999999</v>
      </c>
      <c r="F59" s="8">
        <f t="shared" si="12"/>
        <v>-5.7499999999999996E-2</v>
      </c>
      <c r="G59" s="8">
        <f t="shared" si="13"/>
        <v>-7.4999999999999997E-3</v>
      </c>
      <c r="H59" s="8">
        <f t="shared" si="14"/>
        <v>-4.2500000000000003E-2</v>
      </c>
      <c r="I59" s="12" t="str">
        <f t="shared" si="15"/>
        <v>直進</v>
      </c>
    </row>
    <row r="60" spans="1:9" ht="21" customHeight="1">
      <c r="A60" s="11">
        <v>7</v>
      </c>
      <c r="B60" s="13">
        <f t="shared" si="8"/>
        <v>0.17499999999999999</v>
      </c>
      <c r="C60" s="7">
        <f t="shared" si="9"/>
        <v>0.58750000000000002</v>
      </c>
      <c r="D60" s="7">
        <f t="shared" si="10"/>
        <v>8.7499999999999994E-2</v>
      </c>
      <c r="E60" s="7">
        <f t="shared" si="11"/>
        <v>0.41249999999999998</v>
      </c>
      <c r="F60" s="8">
        <f t="shared" si="12"/>
        <v>-5.8750000000000004E-2</v>
      </c>
      <c r="G60" s="8">
        <f t="shared" si="13"/>
        <v>-8.7499999999999991E-3</v>
      </c>
      <c r="H60" s="8">
        <f t="shared" si="14"/>
        <v>-4.1250000000000002E-2</v>
      </c>
      <c r="I60" s="12" t="str">
        <f t="shared" si="15"/>
        <v>直進</v>
      </c>
    </row>
    <row r="61" spans="1:9" ht="21" customHeight="1">
      <c r="A61" s="11">
        <v>8</v>
      </c>
      <c r="B61" s="13">
        <f t="shared" si="8"/>
        <v>0.2</v>
      </c>
      <c r="C61" s="7">
        <f t="shared" si="9"/>
        <v>0.6</v>
      </c>
      <c r="D61" s="7">
        <f t="shared" si="10"/>
        <v>0.1</v>
      </c>
      <c r="E61" s="7">
        <f t="shared" si="11"/>
        <v>0.4</v>
      </c>
      <c r="F61" s="8">
        <f t="shared" si="12"/>
        <v>-0.06</v>
      </c>
      <c r="G61" s="8">
        <f t="shared" si="13"/>
        <v>-1.0000000000000002E-2</v>
      </c>
      <c r="H61" s="8">
        <f t="shared" si="14"/>
        <v>-4.0000000000000008E-2</v>
      </c>
      <c r="I61" s="12" t="str">
        <f t="shared" si="15"/>
        <v>直進</v>
      </c>
    </row>
    <row r="62" spans="1:9" ht="21" customHeight="1">
      <c r="A62" s="11">
        <v>9</v>
      </c>
      <c r="B62" s="13">
        <f t="shared" si="8"/>
        <v>0.22500000000000001</v>
      </c>
      <c r="C62" s="7">
        <f t="shared" si="9"/>
        <v>0.61250000000000004</v>
      </c>
      <c r="D62" s="7">
        <f t="shared" si="10"/>
        <v>0.1125</v>
      </c>
      <c r="E62" s="7">
        <f t="shared" si="11"/>
        <v>0.38750000000000001</v>
      </c>
      <c r="F62" s="8">
        <f t="shared" si="12"/>
        <v>-6.1250000000000006E-2</v>
      </c>
      <c r="G62" s="8">
        <f t="shared" si="13"/>
        <v>-1.1250000000000001E-2</v>
      </c>
      <c r="H62" s="8">
        <f t="shared" si="14"/>
        <v>-3.8750000000000007E-2</v>
      </c>
      <c r="I62" s="12" t="str">
        <f t="shared" si="15"/>
        <v>直進</v>
      </c>
    </row>
    <row r="63" spans="1:9" ht="21" customHeight="1">
      <c r="A63" s="11">
        <v>10</v>
      </c>
      <c r="B63" s="13">
        <f t="shared" si="8"/>
        <v>0.25</v>
      </c>
      <c r="C63" s="7">
        <f t="shared" si="9"/>
        <v>0.625</v>
      </c>
      <c r="D63" s="7">
        <f t="shared" si="10"/>
        <v>0.125</v>
      </c>
      <c r="E63" s="7">
        <f t="shared" si="11"/>
        <v>0.375</v>
      </c>
      <c r="F63" s="8">
        <f t="shared" si="12"/>
        <v>-6.25E-2</v>
      </c>
      <c r="G63" s="8">
        <f t="shared" si="13"/>
        <v>-1.2500000000000001E-2</v>
      </c>
      <c r="H63" s="8">
        <f t="shared" si="14"/>
        <v>-3.7500000000000006E-2</v>
      </c>
      <c r="I63" s="12" t="str">
        <f t="shared" si="15"/>
        <v>直進</v>
      </c>
    </row>
    <row r="64" spans="1:9" ht="21" customHeight="1">
      <c r="A64" s="11">
        <v>11</v>
      </c>
      <c r="B64" s="13">
        <f t="shared" si="8"/>
        <v>0.27500000000000002</v>
      </c>
      <c r="C64" s="7">
        <f t="shared" si="9"/>
        <v>0.63749999999999996</v>
      </c>
      <c r="D64" s="7">
        <f t="shared" si="10"/>
        <v>0.13750000000000001</v>
      </c>
      <c r="E64" s="7">
        <f t="shared" si="11"/>
        <v>0.36249999999999999</v>
      </c>
      <c r="F64" s="8">
        <f t="shared" si="12"/>
        <v>-6.3750000000000001E-2</v>
      </c>
      <c r="G64" s="8">
        <f t="shared" si="13"/>
        <v>-1.3750000000000002E-2</v>
      </c>
      <c r="H64" s="8">
        <f t="shared" si="14"/>
        <v>-3.6249999999999998E-2</v>
      </c>
      <c r="I64" s="12" t="str">
        <f t="shared" si="15"/>
        <v>直進</v>
      </c>
    </row>
    <row r="65" spans="1:9" ht="21" customHeight="1">
      <c r="A65" s="11">
        <v>12</v>
      </c>
      <c r="B65" s="13">
        <f t="shared" si="8"/>
        <v>0.3</v>
      </c>
      <c r="C65" s="7">
        <f t="shared" si="9"/>
        <v>0.65</v>
      </c>
      <c r="D65" s="7">
        <f t="shared" si="10"/>
        <v>0.15</v>
      </c>
      <c r="E65" s="7">
        <f t="shared" si="11"/>
        <v>0.35</v>
      </c>
      <c r="F65" s="8">
        <f t="shared" si="12"/>
        <v>-6.5000000000000002E-2</v>
      </c>
      <c r="G65" s="8">
        <f t="shared" si="13"/>
        <v>-1.4999999999999999E-2</v>
      </c>
      <c r="H65" s="8">
        <f t="shared" si="14"/>
        <v>-3.4999999999999996E-2</v>
      </c>
      <c r="I65" s="12" t="str">
        <f t="shared" si="15"/>
        <v>直進</v>
      </c>
    </row>
    <row r="66" spans="1:9" ht="21" customHeight="1">
      <c r="A66" s="11">
        <v>13</v>
      </c>
      <c r="B66" s="13">
        <f t="shared" si="8"/>
        <v>0.32500000000000001</v>
      </c>
      <c r="C66" s="7">
        <f t="shared" si="9"/>
        <v>0.66249999999999998</v>
      </c>
      <c r="D66" s="7">
        <f t="shared" si="10"/>
        <v>0.16250000000000001</v>
      </c>
      <c r="E66" s="7">
        <f t="shared" si="11"/>
        <v>0.33750000000000002</v>
      </c>
      <c r="F66" s="8">
        <f t="shared" si="12"/>
        <v>-6.6250000000000003E-2</v>
      </c>
      <c r="G66" s="8">
        <f t="shared" si="13"/>
        <v>-1.6250000000000001E-2</v>
      </c>
      <c r="H66" s="8">
        <f t="shared" si="14"/>
        <v>-3.3750000000000002E-2</v>
      </c>
      <c r="I66" s="12" t="str">
        <f t="shared" si="15"/>
        <v>直進</v>
      </c>
    </row>
    <row r="67" spans="1:9" ht="21" customHeight="1">
      <c r="A67" s="11">
        <v>14</v>
      </c>
      <c r="B67" s="13">
        <f t="shared" si="8"/>
        <v>0.35</v>
      </c>
      <c r="C67" s="7">
        <f t="shared" si="9"/>
        <v>0.67500000000000004</v>
      </c>
      <c r="D67" s="7">
        <f t="shared" si="10"/>
        <v>0.17499999999999999</v>
      </c>
      <c r="E67" s="7">
        <f t="shared" si="11"/>
        <v>0.32500000000000001</v>
      </c>
      <c r="F67" s="8">
        <f t="shared" si="12"/>
        <v>-6.7500000000000004E-2</v>
      </c>
      <c r="G67" s="8">
        <f t="shared" si="13"/>
        <v>-1.7499999999999998E-2</v>
      </c>
      <c r="H67" s="8">
        <f t="shared" si="14"/>
        <v>-3.2500000000000001E-2</v>
      </c>
      <c r="I67" s="12" t="str">
        <f t="shared" si="15"/>
        <v>直進</v>
      </c>
    </row>
    <row r="68" spans="1:9" ht="21" customHeight="1">
      <c r="A68" s="11">
        <v>15</v>
      </c>
      <c r="B68" s="13">
        <f t="shared" si="8"/>
        <v>0.375</v>
      </c>
      <c r="C68" s="7">
        <f t="shared" si="9"/>
        <v>0.6875</v>
      </c>
      <c r="D68" s="7">
        <f t="shared" si="10"/>
        <v>0.1875</v>
      </c>
      <c r="E68" s="7">
        <f t="shared" si="11"/>
        <v>0.3125</v>
      </c>
      <c r="F68" s="8">
        <f t="shared" si="12"/>
        <v>-6.8750000000000006E-2</v>
      </c>
      <c r="G68" s="8">
        <f t="shared" si="13"/>
        <v>-1.8750000000000003E-2</v>
      </c>
      <c r="H68" s="8">
        <f t="shared" si="14"/>
        <v>-3.125E-2</v>
      </c>
      <c r="I68" s="12" t="str">
        <f t="shared" si="15"/>
        <v>直進</v>
      </c>
    </row>
    <row r="69" spans="1:9" ht="21" customHeight="1">
      <c r="A69" s="11">
        <v>16</v>
      </c>
      <c r="B69" s="13">
        <f t="shared" si="8"/>
        <v>0.4</v>
      </c>
      <c r="C69" s="7">
        <f t="shared" si="9"/>
        <v>0.7</v>
      </c>
      <c r="D69" s="7">
        <f t="shared" si="10"/>
        <v>0.2</v>
      </c>
      <c r="E69" s="7">
        <f t="shared" si="11"/>
        <v>0.3</v>
      </c>
      <c r="F69" s="8">
        <f t="shared" si="12"/>
        <v>-6.9999999999999993E-2</v>
      </c>
      <c r="G69" s="8">
        <f t="shared" si="13"/>
        <v>-2.0000000000000004E-2</v>
      </c>
      <c r="H69" s="8">
        <f t="shared" si="14"/>
        <v>-0.03</v>
      </c>
      <c r="I69" s="12" t="str">
        <f t="shared" si="15"/>
        <v>直進</v>
      </c>
    </row>
    <row r="70" spans="1:9" ht="21" customHeight="1">
      <c r="A70" s="11">
        <v>17</v>
      </c>
      <c r="B70" s="13">
        <f t="shared" si="8"/>
        <v>0.42499999999999999</v>
      </c>
      <c r="C70" s="7">
        <f t="shared" si="9"/>
        <v>0.71250000000000002</v>
      </c>
      <c r="D70" s="7">
        <f t="shared" si="10"/>
        <v>0.21249999999999999</v>
      </c>
      <c r="E70" s="7">
        <f t="shared" si="11"/>
        <v>0.28749999999999998</v>
      </c>
      <c r="F70" s="8">
        <f t="shared" si="12"/>
        <v>-7.1250000000000008E-2</v>
      </c>
      <c r="G70" s="8">
        <f t="shared" si="13"/>
        <v>-2.1250000000000002E-2</v>
      </c>
      <c r="H70" s="8">
        <f t="shared" si="14"/>
        <v>-2.8749999999999998E-2</v>
      </c>
      <c r="I70" s="12" t="str">
        <f t="shared" si="15"/>
        <v>直進</v>
      </c>
    </row>
    <row r="71" spans="1:9" ht="21" customHeight="1">
      <c r="A71" s="11">
        <v>18</v>
      </c>
      <c r="B71" s="13">
        <f t="shared" si="8"/>
        <v>0.45</v>
      </c>
      <c r="C71" s="7">
        <f t="shared" si="9"/>
        <v>0.72499999999999998</v>
      </c>
      <c r="D71" s="7">
        <f t="shared" si="10"/>
        <v>0.22500000000000001</v>
      </c>
      <c r="E71" s="7">
        <f t="shared" si="11"/>
        <v>0.27500000000000002</v>
      </c>
      <c r="F71" s="8">
        <f t="shared" si="12"/>
        <v>-7.2499999999999995E-2</v>
      </c>
      <c r="G71" s="8">
        <f t="shared" si="13"/>
        <v>-2.2500000000000003E-2</v>
      </c>
      <c r="H71" s="8">
        <f t="shared" si="14"/>
        <v>-2.7500000000000004E-2</v>
      </c>
      <c r="I71" s="12" t="str">
        <f t="shared" si="15"/>
        <v>直進</v>
      </c>
    </row>
    <row r="72" spans="1:9" ht="21" customHeight="1">
      <c r="A72" s="11">
        <v>19</v>
      </c>
      <c r="B72" s="13">
        <f t="shared" si="8"/>
        <v>0.47499999999999998</v>
      </c>
      <c r="C72" s="7">
        <f t="shared" si="9"/>
        <v>0.73750000000000004</v>
      </c>
      <c r="D72" s="7">
        <f t="shared" si="10"/>
        <v>0.23749999999999999</v>
      </c>
      <c r="E72" s="7">
        <f t="shared" si="11"/>
        <v>0.26250000000000001</v>
      </c>
      <c r="F72" s="8">
        <f t="shared" si="12"/>
        <v>-7.375000000000001E-2</v>
      </c>
      <c r="G72" s="8">
        <f t="shared" si="13"/>
        <v>-2.375E-2</v>
      </c>
      <c r="H72" s="8">
        <f t="shared" si="14"/>
        <v>-2.6250000000000002E-2</v>
      </c>
      <c r="I72" s="12" t="str">
        <f t="shared" si="15"/>
        <v>直進</v>
      </c>
    </row>
    <row r="73" spans="1:9" ht="21" customHeight="1">
      <c r="A73" s="11">
        <v>20</v>
      </c>
      <c r="B73" s="13">
        <f t="shared" si="8"/>
        <v>0.5</v>
      </c>
      <c r="C73" s="7">
        <f t="shared" si="9"/>
        <v>0.75</v>
      </c>
      <c r="D73" s="7">
        <f t="shared" si="10"/>
        <v>0.25</v>
      </c>
      <c r="E73" s="7">
        <f t="shared" si="11"/>
        <v>0.25</v>
      </c>
      <c r="F73" s="8">
        <f t="shared" si="12"/>
        <v>-7.5000000000000011E-2</v>
      </c>
      <c r="G73" s="8">
        <f t="shared" si="13"/>
        <v>-2.5000000000000001E-2</v>
      </c>
      <c r="H73" s="8">
        <f t="shared" si="14"/>
        <v>-2.5000000000000001E-2</v>
      </c>
      <c r="I73" s="12" t="str">
        <f t="shared" si="15"/>
        <v>直進／左（同点）</v>
      </c>
    </row>
    <row r="74" spans="1:9" ht="21" customHeight="1">
      <c r="A74" s="11">
        <v>21</v>
      </c>
      <c r="B74" s="13">
        <f t="shared" si="8"/>
        <v>0.52500000000000002</v>
      </c>
      <c r="C74" s="7">
        <f t="shared" si="9"/>
        <v>0.76249999999999996</v>
      </c>
      <c r="D74" s="7">
        <f t="shared" si="10"/>
        <v>0.26250000000000001</v>
      </c>
      <c r="E74" s="7">
        <f t="shared" si="11"/>
        <v>0.23749999999999999</v>
      </c>
      <c r="F74" s="8">
        <f t="shared" si="12"/>
        <v>-7.6249999999999998E-2</v>
      </c>
      <c r="G74" s="8">
        <f t="shared" si="13"/>
        <v>-2.6250000000000002E-2</v>
      </c>
      <c r="H74" s="8">
        <f t="shared" si="14"/>
        <v>-2.375E-2</v>
      </c>
      <c r="I74" s="12" t="str">
        <f t="shared" si="15"/>
        <v>左</v>
      </c>
    </row>
    <row r="75" spans="1:9" ht="21" customHeight="1">
      <c r="A75" s="11">
        <v>22</v>
      </c>
      <c r="B75" s="13">
        <f t="shared" si="8"/>
        <v>0.55000000000000004</v>
      </c>
      <c r="C75" s="7">
        <f t="shared" si="9"/>
        <v>0.77500000000000002</v>
      </c>
      <c r="D75" s="7">
        <f t="shared" si="10"/>
        <v>0.27500000000000002</v>
      </c>
      <c r="E75" s="7">
        <f t="shared" si="11"/>
        <v>0.22499999999999998</v>
      </c>
      <c r="F75" s="8">
        <f t="shared" si="12"/>
        <v>-7.7500000000000013E-2</v>
      </c>
      <c r="G75" s="8">
        <f t="shared" si="13"/>
        <v>-2.7500000000000004E-2</v>
      </c>
      <c r="H75" s="8">
        <f t="shared" si="14"/>
        <v>-2.2499999999999999E-2</v>
      </c>
      <c r="I75" s="12" t="str">
        <f t="shared" si="15"/>
        <v>左</v>
      </c>
    </row>
    <row r="76" spans="1:9" ht="21" customHeight="1">
      <c r="A76" s="11">
        <v>23</v>
      </c>
      <c r="B76" s="13">
        <f t="shared" si="8"/>
        <v>0.57499999999999996</v>
      </c>
      <c r="C76" s="7">
        <f t="shared" si="9"/>
        <v>0.78749999999999998</v>
      </c>
      <c r="D76" s="7">
        <f t="shared" si="10"/>
        <v>0.28749999999999998</v>
      </c>
      <c r="E76" s="7">
        <f t="shared" si="11"/>
        <v>0.21250000000000002</v>
      </c>
      <c r="F76" s="8">
        <f t="shared" si="12"/>
        <v>-7.8750000000000001E-2</v>
      </c>
      <c r="G76" s="8">
        <f t="shared" si="13"/>
        <v>-2.8749999999999998E-2</v>
      </c>
      <c r="H76" s="8">
        <f t="shared" si="14"/>
        <v>-2.1250000000000005E-2</v>
      </c>
      <c r="I76" s="12" t="str">
        <f t="shared" si="15"/>
        <v>左</v>
      </c>
    </row>
    <row r="77" spans="1:9" ht="21" customHeight="1">
      <c r="A77" s="11">
        <v>24</v>
      </c>
      <c r="B77" s="13">
        <f t="shared" ref="B77:B108" si="16">MAX(-1,MIN(1,A77/$B$5))</f>
        <v>0.6</v>
      </c>
      <c r="C77" s="7">
        <f t="shared" ref="C77:C108" si="17">ABS($G$5-B77)/2</f>
        <v>0.8</v>
      </c>
      <c r="D77" s="7">
        <f t="shared" ref="D77:D93" si="18">ABS($G$6-B77)/2</f>
        <v>0.3</v>
      </c>
      <c r="E77" s="7">
        <f t="shared" ref="E77:E93" si="19">ABS($G$7-B77)/2</f>
        <v>0.2</v>
      </c>
      <c r="F77" s="8">
        <f t="shared" ref="F77:F93" si="20">-$B$6*$B$7*C77</f>
        <v>-8.0000000000000016E-2</v>
      </c>
      <c r="G77" s="8">
        <f t="shared" ref="G77:G93" si="21">-$B$6*$B$7*D77</f>
        <v>-0.03</v>
      </c>
      <c r="H77" s="8">
        <f t="shared" ref="H77:H93" si="22">-$B$6*$B$7*E77</f>
        <v>-2.0000000000000004E-2</v>
      </c>
      <c r="I77" s="12" t="str">
        <f t="shared" ref="I77:I108" si="23">IF(F77=MAX(F77:H77),$F$5,"")&amp;IF(G77=MAX(F77:H77),IF(F77=MAX(F77:H77),"／","")&amp;$F$6,"")&amp;IF(H77=MAX(F77:H77),IF(MAX(F77:G77)=MAX(F77:H77),"／","")&amp;$F$7,"")&amp;IF(COUNTIF(F77:H77,MAX(F77:H77))&gt;1,"（同点）","")</f>
        <v>左</v>
      </c>
    </row>
    <row r="78" spans="1:9" ht="21" customHeight="1">
      <c r="A78" s="11">
        <v>25</v>
      </c>
      <c r="B78" s="13">
        <f t="shared" si="16"/>
        <v>0.625</v>
      </c>
      <c r="C78" s="7">
        <f t="shared" si="17"/>
        <v>0.8125</v>
      </c>
      <c r="D78" s="7">
        <f t="shared" si="18"/>
        <v>0.3125</v>
      </c>
      <c r="E78" s="7">
        <f t="shared" si="19"/>
        <v>0.1875</v>
      </c>
      <c r="F78" s="8">
        <f t="shared" si="20"/>
        <v>-8.1250000000000003E-2</v>
      </c>
      <c r="G78" s="8">
        <f t="shared" si="21"/>
        <v>-3.125E-2</v>
      </c>
      <c r="H78" s="8">
        <f t="shared" si="22"/>
        <v>-1.8750000000000003E-2</v>
      </c>
      <c r="I78" s="12" t="str">
        <f t="shared" si="23"/>
        <v>左</v>
      </c>
    </row>
    <row r="79" spans="1:9" ht="21" customHeight="1">
      <c r="A79" s="11">
        <v>26</v>
      </c>
      <c r="B79" s="13">
        <f t="shared" si="16"/>
        <v>0.65</v>
      </c>
      <c r="C79" s="7">
        <f t="shared" si="17"/>
        <v>0.82499999999999996</v>
      </c>
      <c r="D79" s="7">
        <f t="shared" si="18"/>
        <v>0.32500000000000001</v>
      </c>
      <c r="E79" s="7">
        <f t="shared" si="19"/>
        <v>0.17499999999999999</v>
      </c>
      <c r="F79" s="8">
        <f t="shared" si="20"/>
        <v>-8.2500000000000004E-2</v>
      </c>
      <c r="G79" s="8">
        <f t="shared" si="21"/>
        <v>-3.2500000000000001E-2</v>
      </c>
      <c r="H79" s="8">
        <f t="shared" si="22"/>
        <v>-1.7499999999999998E-2</v>
      </c>
      <c r="I79" s="12" t="str">
        <f t="shared" si="23"/>
        <v>左</v>
      </c>
    </row>
    <row r="80" spans="1:9" ht="21" customHeight="1">
      <c r="A80" s="11">
        <v>27</v>
      </c>
      <c r="B80" s="13">
        <f t="shared" si="16"/>
        <v>0.67500000000000004</v>
      </c>
      <c r="C80" s="7">
        <f t="shared" si="17"/>
        <v>0.83750000000000002</v>
      </c>
      <c r="D80" s="7">
        <f t="shared" si="18"/>
        <v>0.33750000000000002</v>
      </c>
      <c r="E80" s="7">
        <f t="shared" si="19"/>
        <v>0.16249999999999998</v>
      </c>
      <c r="F80" s="8">
        <f t="shared" si="20"/>
        <v>-8.3750000000000005E-2</v>
      </c>
      <c r="G80" s="8">
        <f t="shared" si="21"/>
        <v>-3.3750000000000002E-2</v>
      </c>
      <c r="H80" s="8">
        <f t="shared" si="22"/>
        <v>-1.6249999999999997E-2</v>
      </c>
      <c r="I80" s="12" t="str">
        <f t="shared" si="23"/>
        <v>左</v>
      </c>
    </row>
    <row r="81" spans="1:9" ht="21" customHeight="1">
      <c r="A81" s="11">
        <v>28</v>
      </c>
      <c r="B81" s="13">
        <f t="shared" si="16"/>
        <v>0.7</v>
      </c>
      <c r="C81" s="7">
        <f t="shared" si="17"/>
        <v>0.85</v>
      </c>
      <c r="D81" s="7">
        <f t="shared" si="18"/>
        <v>0.35</v>
      </c>
      <c r="E81" s="7">
        <f t="shared" si="19"/>
        <v>0.15000000000000002</v>
      </c>
      <c r="F81" s="8">
        <f t="shared" si="20"/>
        <v>-8.5000000000000006E-2</v>
      </c>
      <c r="G81" s="8">
        <f t="shared" si="21"/>
        <v>-3.4999999999999996E-2</v>
      </c>
      <c r="H81" s="8">
        <f t="shared" si="22"/>
        <v>-1.5000000000000003E-2</v>
      </c>
      <c r="I81" s="12" t="str">
        <f t="shared" si="23"/>
        <v>左</v>
      </c>
    </row>
    <row r="82" spans="1:9" ht="21" customHeight="1">
      <c r="A82" s="11">
        <v>29</v>
      </c>
      <c r="B82" s="13">
        <f t="shared" si="16"/>
        <v>0.72499999999999998</v>
      </c>
      <c r="C82" s="7">
        <f t="shared" si="17"/>
        <v>0.86250000000000004</v>
      </c>
      <c r="D82" s="7">
        <f t="shared" si="18"/>
        <v>0.36249999999999999</v>
      </c>
      <c r="E82" s="7">
        <f t="shared" si="19"/>
        <v>0.13750000000000001</v>
      </c>
      <c r="F82" s="8">
        <f t="shared" si="20"/>
        <v>-8.6250000000000007E-2</v>
      </c>
      <c r="G82" s="8">
        <f t="shared" si="21"/>
        <v>-3.6249999999999998E-2</v>
      </c>
      <c r="H82" s="8">
        <f t="shared" si="22"/>
        <v>-1.3750000000000002E-2</v>
      </c>
      <c r="I82" s="12" t="str">
        <f t="shared" si="23"/>
        <v>左</v>
      </c>
    </row>
    <row r="83" spans="1:9" ht="21" customHeight="1">
      <c r="A83" s="11">
        <v>30</v>
      </c>
      <c r="B83" s="13">
        <f t="shared" si="16"/>
        <v>0.75</v>
      </c>
      <c r="C83" s="7">
        <f t="shared" si="17"/>
        <v>0.875</v>
      </c>
      <c r="D83" s="7">
        <f t="shared" si="18"/>
        <v>0.375</v>
      </c>
      <c r="E83" s="7">
        <f t="shared" si="19"/>
        <v>0.125</v>
      </c>
      <c r="F83" s="8">
        <f t="shared" si="20"/>
        <v>-8.7500000000000008E-2</v>
      </c>
      <c r="G83" s="8">
        <f t="shared" si="21"/>
        <v>-3.7500000000000006E-2</v>
      </c>
      <c r="H83" s="8">
        <f t="shared" si="22"/>
        <v>-1.2500000000000001E-2</v>
      </c>
      <c r="I83" s="12" t="str">
        <f t="shared" si="23"/>
        <v>左</v>
      </c>
    </row>
    <row r="84" spans="1:9" ht="21" customHeight="1">
      <c r="A84" s="11">
        <v>31</v>
      </c>
      <c r="B84" s="13">
        <f t="shared" si="16"/>
        <v>0.77500000000000002</v>
      </c>
      <c r="C84" s="7">
        <f t="shared" si="17"/>
        <v>0.88749999999999996</v>
      </c>
      <c r="D84" s="7">
        <f t="shared" si="18"/>
        <v>0.38750000000000001</v>
      </c>
      <c r="E84" s="7">
        <f t="shared" si="19"/>
        <v>0.11249999999999999</v>
      </c>
      <c r="F84" s="8">
        <f t="shared" si="20"/>
        <v>-8.8749999999999996E-2</v>
      </c>
      <c r="G84" s="8">
        <f t="shared" si="21"/>
        <v>-3.8750000000000007E-2</v>
      </c>
      <c r="H84" s="8">
        <f t="shared" si="22"/>
        <v>-1.125E-2</v>
      </c>
      <c r="I84" s="12" t="str">
        <f t="shared" si="23"/>
        <v>左</v>
      </c>
    </row>
    <row r="85" spans="1:9" ht="21" customHeight="1">
      <c r="A85" s="11">
        <v>32</v>
      </c>
      <c r="B85" s="13">
        <f t="shared" si="16"/>
        <v>0.8</v>
      </c>
      <c r="C85" s="7">
        <f t="shared" si="17"/>
        <v>0.9</v>
      </c>
      <c r="D85" s="7">
        <f t="shared" si="18"/>
        <v>0.4</v>
      </c>
      <c r="E85" s="7">
        <f t="shared" si="19"/>
        <v>9.9999999999999978E-2</v>
      </c>
      <c r="F85" s="8">
        <f t="shared" si="20"/>
        <v>-9.0000000000000011E-2</v>
      </c>
      <c r="G85" s="8">
        <f t="shared" si="21"/>
        <v>-4.0000000000000008E-2</v>
      </c>
      <c r="H85" s="8">
        <f t="shared" si="22"/>
        <v>-9.9999999999999985E-3</v>
      </c>
      <c r="I85" s="12" t="str">
        <f t="shared" si="23"/>
        <v>左</v>
      </c>
    </row>
    <row r="86" spans="1:9" ht="21" customHeight="1">
      <c r="A86" s="11">
        <v>33</v>
      </c>
      <c r="B86" s="13">
        <f t="shared" si="16"/>
        <v>0.82499999999999996</v>
      </c>
      <c r="C86" s="7">
        <f t="shared" si="17"/>
        <v>0.91249999999999998</v>
      </c>
      <c r="D86" s="7">
        <f t="shared" si="18"/>
        <v>0.41249999999999998</v>
      </c>
      <c r="E86" s="7">
        <f t="shared" si="19"/>
        <v>8.7500000000000022E-2</v>
      </c>
      <c r="F86" s="8">
        <f t="shared" si="20"/>
        <v>-9.1249999999999998E-2</v>
      </c>
      <c r="G86" s="8">
        <f t="shared" si="21"/>
        <v>-4.1250000000000002E-2</v>
      </c>
      <c r="H86" s="8">
        <f t="shared" si="22"/>
        <v>-8.7500000000000026E-3</v>
      </c>
      <c r="I86" s="12" t="str">
        <f t="shared" si="23"/>
        <v>左</v>
      </c>
    </row>
    <row r="87" spans="1:9" ht="21" customHeight="1">
      <c r="A87" s="11">
        <v>34</v>
      </c>
      <c r="B87" s="13">
        <f t="shared" si="16"/>
        <v>0.85</v>
      </c>
      <c r="C87" s="7">
        <f t="shared" si="17"/>
        <v>0.92500000000000004</v>
      </c>
      <c r="D87" s="7">
        <f t="shared" si="18"/>
        <v>0.42499999999999999</v>
      </c>
      <c r="E87" s="7">
        <f t="shared" si="19"/>
        <v>7.5000000000000011E-2</v>
      </c>
      <c r="F87" s="8">
        <f t="shared" si="20"/>
        <v>-9.2500000000000013E-2</v>
      </c>
      <c r="G87" s="8">
        <f t="shared" si="21"/>
        <v>-4.2500000000000003E-2</v>
      </c>
      <c r="H87" s="8">
        <f t="shared" si="22"/>
        <v>-7.5000000000000015E-3</v>
      </c>
      <c r="I87" s="12" t="str">
        <f t="shared" si="23"/>
        <v>左</v>
      </c>
    </row>
    <row r="88" spans="1:9" ht="21" customHeight="1">
      <c r="A88" s="11">
        <v>35</v>
      </c>
      <c r="B88" s="13">
        <f t="shared" si="16"/>
        <v>0.875</v>
      </c>
      <c r="C88" s="7">
        <f t="shared" si="17"/>
        <v>0.9375</v>
      </c>
      <c r="D88" s="7">
        <f t="shared" si="18"/>
        <v>0.4375</v>
      </c>
      <c r="E88" s="7">
        <f t="shared" si="19"/>
        <v>6.25E-2</v>
      </c>
      <c r="F88" s="8">
        <f t="shared" si="20"/>
        <v>-9.375E-2</v>
      </c>
      <c r="G88" s="8">
        <f t="shared" si="21"/>
        <v>-4.3750000000000004E-2</v>
      </c>
      <c r="H88" s="8">
        <f t="shared" si="22"/>
        <v>-6.2500000000000003E-3</v>
      </c>
      <c r="I88" s="12" t="str">
        <f t="shared" si="23"/>
        <v>左</v>
      </c>
    </row>
    <row r="89" spans="1:9" ht="21" customHeight="1">
      <c r="A89" s="11">
        <v>36</v>
      </c>
      <c r="B89" s="13">
        <f t="shared" si="16"/>
        <v>0.9</v>
      </c>
      <c r="C89" s="7">
        <f t="shared" si="17"/>
        <v>0.95</v>
      </c>
      <c r="D89" s="7">
        <f t="shared" si="18"/>
        <v>0.45</v>
      </c>
      <c r="E89" s="7">
        <f t="shared" si="19"/>
        <v>4.9999999999999989E-2</v>
      </c>
      <c r="F89" s="8">
        <f t="shared" si="20"/>
        <v>-9.5000000000000001E-2</v>
      </c>
      <c r="G89" s="8">
        <f t="shared" si="21"/>
        <v>-4.5000000000000005E-2</v>
      </c>
      <c r="H89" s="8">
        <f t="shared" si="22"/>
        <v>-4.9999999999999992E-3</v>
      </c>
      <c r="I89" s="12" t="str">
        <f t="shared" si="23"/>
        <v>左</v>
      </c>
    </row>
    <row r="90" spans="1:9" ht="21" customHeight="1">
      <c r="A90" s="11">
        <v>37</v>
      </c>
      <c r="B90" s="13">
        <f t="shared" si="16"/>
        <v>0.92500000000000004</v>
      </c>
      <c r="C90" s="7">
        <f t="shared" si="17"/>
        <v>0.96250000000000002</v>
      </c>
      <c r="D90" s="7">
        <f t="shared" si="18"/>
        <v>0.46250000000000002</v>
      </c>
      <c r="E90" s="7">
        <f t="shared" si="19"/>
        <v>3.7499999999999978E-2</v>
      </c>
      <c r="F90" s="8">
        <f t="shared" si="20"/>
        <v>-9.6250000000000002E-2</v>
      </c>
      <c r="G90" s="8">
        <f t="shared" si="21"/>
        <v>-4.6250000000000006E-2</v>
      </c>
      <c r="H90" s="8">
        <f t="shared" si="22"/>
        <v>-3.7499999999999981E-3</v>
      </c>
      <c r="I90" s="12" t="str">
        <f t="shared" si="23"/>
        <v>左</v>
      </c>
    </row>
    <row r="91" spans="1:9" ht="21" customHeight="1">
      <c r="A91" s="11">
        <v>38</v>
      </c>
      <c r="B91" s="13">
        <f t="shared" si="16"/>
        <v>0.95</v>
      </c>
      <c r="C91" s="7">
        <f t="shared" si="17"/>
        <v>0.97499999999999998</v>
      </c>
      <c r="D91" s="7">
        <f t="shared" si="18"/>
        <v>0.47499999999999998</v>
      </c>
      <c r="E91" s="7">
        <f t="shared" si="19"/>
        <v>2.5000000000000022E-2</v>
      </c>
      <c r="F91" s="8">
        <f t="shared" si="20"/>
        <v>-9.7500000000000003E-2</v>
      </c>
      <c r="G91" s="8">
        <f t="shared" si="21"/>
        <v>-4.7500000000000001E-2</v>
      </c>
      <c r="H91" s="8">
        <f t="shared" si="22"/>
        <v>-2.5000000000000022E-3</v>
      </c>
      <c r="I91" s="12" t="str">
        <f t="shared" si="23"/>
        <v>左</v>
      </c>
    </row>
    <row r="92" spans="1:9" ht="21" customHeight="1">
      <c r="A92" s="11">
        <v>39</v>
      </c>
      <c r="B92" s="13">
        <f t="shared" si="16"/>
        <v>0.97499999999999998</v>
      </c>
      <c r="C92" s="7">
        <f t="shared" si="17"/>
        <v>0.98750000000000004</v>
      </c>
      <c r="D92" s="7">
        <f t="shared" si="18"/>
        <v>0.48749999999999999</v>
      </c>
      <c r="E92" s="7">
        <f t="shared" si="19"/>
        <v>1.2500000000000011E-2</v>
      </c>
      <c r="F92" s="8">
        <f t="shared" si="20"/>
        <v>-9.8750000000000004E-2</v>
      </c>
      <c r="G92" s="8">
        <f t="shared" si="21"/>
        <v>-4.8750000000000002E-2</v>
      </c>
      <c r="H92" s="8">
        <f t="shared" si="22"/>
        <v>-1.2500000000000011E-3</v>
      </c>
      <c r="I92" s="12" t="str">
        <f t="shared" si="23"/>
        <v>左</v>
      </c>
    </row>
    <row r="93" spans="1:9" ht="21" customHeight="1">
      <c r="A93" s="11">
        <v>40</v>
      </c>
      <c r="B93" s="13">
        <f t="shared" si="16"/>
        <v>1</v>
      </c>
      <c r="C93" s="7">
        <f t="shared" si="17"/>
        <v>1</v>
      </c>
      <c r="D93" s="7">
        <f t="shared" si="18"/>
        <v>0.5</v>
      </c>
      <c r="E93" s="7">
        <f t="shared" si="19"/>
        <v>0</v>
      </c>
      <c r="F93" s="8">
        <f t="shared" si="20"/>
        <v>-0.1</v>
      </c>
      <c r="G93" s="8">
        <f t="shared" si="21"/>
        <v>-0.05</v>
      </c>
      <c r="H93" s="8">
        <f t="shared" si="22"/>
        <v>0</v>
      </c>
      <c r="I93" s="12" t="str">
        <f t="shared" si="23"/>
        <v>左</v>
      </c>
    </row>
    <row r="94" spans="1:9" ht="10" customHeight="1">
      <c r="A94" s="2"/>
      <c r="B94" s="2"/>
      <c r="C94" s="2"/>
      <c r="D94" s="2"/>
      <c r="E94" s="2"/>
      <c r="F94" s="2"/>
      <c r="G94" s="2"/>
      <c r="H94" s="2"/>
      <c r="I94" s="2"/>
    </row>
    <row r="95" spans="1:9" ht="18" customHeight="1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8" customHeight="1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8" customHeight="1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21" customHeight="1">
      <c r="A98" s="1"/>
      <c r="B98" s="1"/>
      <c r="C98" s="1"/>
      <c r="D98" s="1"/>
      <c r="E98" s="1"/>
      <c r="F98" s="1"/>
      <c r="G98" s="1"/>
      <c r="H98" s="1"/>
      <c r="I98" s="1"/>
    </row>
  </sheetData>
  <phoneticPr fontId="8"/>
  <dataValidations count="2">
    <dataValidation type="decimal" operator="greaterThan" sqref="B5 B7" xr:uid="{00000000-0002-0000-0000-000000000000}">
      <formula1>0</formula1>
    </dataValidation>
    <dataValidation type="decimal" sqref="B6" xr:uid="{00000000-0002-0000-0000-000001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PP操舵の判定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CT 梶</cp:lastModifiedBy>
  <dcterms:modified xsi:type="dcterms:W3CDTF">2026-09-14T05:41:39Z</dcterms:modified>
</cp:coreProperties>
</file>